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Excel_Final\"/>
    </mc:Choice>
  </mc:AlternateContent>
  <xr:revisionPtr revIDLastSave="0" documentId="13_ncr:1_{A9871D96-5DBE-44B3-8BAD-F99C551BA7C6}" xr6:coauthVersionLast="47" xr6:coauthVersionMax="47" xr10:uidLastSave="{00000000-0000-0000-0000-000000000000}"/>
  <bookViews>
    <workbookView xWindow="-108" yWindow="-108" windowWidth="23256" windowHeight="12456" xr2:uid="{00000000-000D-0000-FFFF-FFFF00000000}"/>
  </bookViews>
  <sheets>
    <sheet name="Dashboard" sheetId="4" r:id="rId1"/>
    <sheet name="Raw Dataset" sheetId="2" r:id="rId2"/>
    <sheet name="Pivot_Data" sheetId="5" r:id="rId3"/>
    <sheet name="Analysis" sheetId="3" r:id="rId4"/>
    <sheet name="Summary" sheetId="6" r:id="rId5"/>
  </sheets>
  <definedNames>
    <definedName name="NativeTimeline_Date">#N/A</definedName>
    <definedName name="Slicer_Category">#N/A</definedName>
    <definedName name="Slicer_Customer_Segment">#N/A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6" l="1"/>
  <c r="E10" i="6"/>
  <c r="T7" i="4" l="1"/>
  <c r="P7" i="4"/>
  <c r="L7" i="4"/>
  <c r="H7" i="4"/>
  <c r="D7" i="4"/>
  <c r="D83" i="3" a="1"/>
  <c r="D83" i="3" s="1"/>
  <c r="M114" i="3" l="1"/>
  <c r="M113" i="3"/>
  <c r="M117" i="3" s="1"/>
  <c r="M112" i="3"/>
  <c r="M116" i="3" l="1"/>
  <c r="I113" i="3" a="1"/>
  <c r="I113" i="3" s="1"/>
  <c r="H113" i="3" a="1"/>
  <c r="H113" i="3" s="1"/>
  <c r="G113" i="3" a="1"/>
  <c r="G113" i="3" s="1"/>
  <c r="F113" i="3" a="1"/>
  <c r="F113" i="3" s="1"/>
  <c r="E113" i="3" a="1"/>
  <c r="E113" i="3" s="1"/>
  <c r="D113" i="3" a="1"/>
  <c r="D113" i="3" s="1"/>
  <c r="K69" i="3" a="1"/>
  <c r="K69" i="3" s="1"/>
  <c r="L69" i="3" l="1" a="1"/>
  <c r="L69" i="3" s="1"/>
  <c r="M69" i="3" s="1"/>
  <c r="D107" i="3" a="1"/>
  <c r="D107" i="3" s="1"/>
  <c r="E107" i="3" s="1"/>
  <c r="D100" i="3" a="1"/>
  <c r="D100" i="3" s="1"/>
  <c r="D92" i="3" a="1"/>
  <c r="D92" i="3" s="1"/>
  <c r="E83" i="3"/>
  <c r="D69" i="3" a="1"/>
  <c r="D69" i="3" s="1"/>
  <c r="E69" i="3" s="1"/>
  <c r="E15" i="3" a="1"/>
  <c r="E15" i="3" s="1"/>
  <c r="K11" i="3"/>
  <c r="K10" i="3"/>
  <c r="K9" i="3"/>
  <c r="K6" i="3"/>
  <c r="K8" i="3"/>
  <c r="K7" i="3"/>
  <c r="F9" i="3"/>
  <c r="F8" i="3"/>
  <c r="F11" i="3"/>
  <c r="F10" i="3"/>
  <c r="F7" i="3"/>
  <c r="F6" i="3"/>
  <c r="G64" i="3" l="1"/>
  <c r="F95" i="3"/>
  <c r="G52" i="3"/>
  <c r="F94" i="3"/>
  <c r="G40" i="3"/>
  <c r="F93" i="3"/>
  <c r="G28" i="3"/>
  <c r="G16" i="3"/>
  <c r="F70" i="3"/>
  <c r="F108" i="3"/>
  <c r="F107" i="3"/>
  <c r="G109" i="3" s="1"/>
  <c r="F73" i="3"/>
  <c r="E70" i="3"/>
  <c r="F109" i="3"/>
  <c r="F63" i="3"/>
  <c r="F51" i="3"/>
  <c r="E95" i="3"/>
  <c r="H107" i="3"/>
  <c r="F39" i="3"/>
  <c r="E94" i="3"/>
  <c r="H109" i="3"/>
  <c r="F27" i="3"/>
  <c r="E93" i="3"/>
  <c r="G92" i="3" s="1"/>
  <c r="H108" i="3"/>
  <c r="M90" i="3"/>
  <c r="F62" i="3"/>
  <c r="F50" i="3"/>
  <c r="F38" i="3"/>
  <c r="F26" i="3"/>
  <c r="G63" i="3"/>
  <c r="G51" i="3"/>
  <c r="G39" i="3"/>
  <c r="G27" i="3"/>
  <c r="E86" i="3"/>
  <c r="I86" i="3" s="1"/>
  <c r="M109" i="3"/>
  <c r="M87" i="3"/>
  <c r="E87" i="3"/>
  <c r="M74" i="3"/>
  <c r="M76" i="3"/>
  <c r="M102" i="3"/>
  <c r="G78" i="3"/>
  <c r="F61" i="3"/>
  <c r="F49" i="3"/>
  <c r="F37" i="3"/>
  <c r="F25" i="3"/>
  <c r="G62" i="3"/>
  <c r="G50" i="3"/>
  <c r="G38" i="3"/>
  <c r="G26" i="3"/>
  <c r="M99" i="3"/>
  <c r="M88" i="3"/>
  <c r="M79" i="3"/>
  <c r="G77" i="3"/>
  <c r="F60" i="3"/>
  <c r="F48" i="3"/>
  <c r="F36" i="3"/>
  <c r="F24" i="3"/>
  <c r="G61" i="3"/>
  <c r="G49" i="3"/>
  <c r="G37" i="3"/>
  <c r="G25" i="3"/>
  <c r="E85" i="3"/>
  <c r="M72" i="3"/>
  <c r="M100" i="3"/>
  <c r="M103" i="3"/>
  <c r="G76" i="3"/>
  <c r="F59" i="3"/>
  <c r="F47" i="3"/>
  <c r="F35" i="3"/>
  <c r="F23" i="3"/>
  <c r="G60" i="3"/>
  <c r="G48" i="3"/>
  <c r="G36" i="3"/>
  <c r="G24" i="3"/>
  <c r="E78" i="3"/>
  <c r="E84" i="3"/>
  <c r="M84" i="3"/>
  <c r="M77" i="3"/>
  <c r="M81" i="3"/>
  <c r="F78" i="3"/>
  <c r="G75" i="3"/>
  <c r="F58" i="3"/>
  <c r="F46" i="3"/>
  <c r="F34" i="3"/>
  <c r="F22" i="3"/>
  <c r="G59" i="3"/>
  <c r="G47" i="3"/>
  <c r="G35" i="3"/>
  <c r="G23" i="3"/>
  <c r="E77" i="3"/>
  <c r="F76" i="3"/>
  <c r="G73" i="3"/>
  <c r="F56" i="3"/>
  <c r="F44" i="3"/>
  <c r="F32" i="3"/>
  <c r="F20" i="3"/>
  <c r="G57" i="3"/>
  <c r="G45" i="3"/>
  <c r="G33" i="3"/>
  <c r="G21" i="3"/>
  <c r="E75" i="3"/>
  <c r="F87" i="3"/>
  <c r="M108" i="3"/>
  <c r="M101" i="3"/>
  <c r="M105" i="3"/>
  <c r="M83" i="3"/>
  <c r="M97" i="3"/>
  <c r="M80" i="3"/>
  <c r="M82" i="3"/>
  <c r="F72" i="3"/>
  <c r="G70" i="3"/>
  <c r="F53" i="3"/>
  <c r="F41" i="3"/>
  <c r="F29" i="3"/>
  <c r="F17" i="3"/>
  <c r="G54" i="3"/>
  <c r="G42" i="3"/>
  <c r="G30" i="3"/>
  <c r="G18" i="3"/>
  <c r="E72" i="3"/>
  <c r="F84" i="3"/>
  <c r="E109" i="3"/>
  <c r="M107" i="3"/>
  <c r="M98" i="3"/>
  <c r="M104" i="3"/>
  <c r="M106" i="3"/>
  <c r="M96" i="3"/>
  <c r="M89" i="3"/>
  <c r="M93" i="3"/>
  <c r="F77" i="3"/>
  <c r="G74" i="3"/>
  <c r="F57" i="3"/>
  <c r="F45" i="3"/>
  <c r="F33" i="3"/>
  <c r="F21" i="3"/>
  <c r="G58" i="3"/>
  <c r="G46" i="3"/>
  <c r="G34" i="3"/>
  <c r="G22" i="3"/>
  <c r="E76" i="3"/>
  <c r="F83" i="3"/>
  <c r="M71" i="3"/>
  <c r="M73" i="3"/>
  <c r="M91" i="3"/>
  <c r="M70" i="3"/>
  <c r="F75" i="3"/>
  <c r="G72" i="3"/>
  <c r="F55" i="3"/>
  <c r="F43" i="3"/>
  <c r="F31" i="3"/>
  <c r="F19" i="3"/>
  <c r="G56" i="3"/>
  <c r="G44" i="3"/>
  <c r="G32" i="3"/>
  <c r="G20" i="3"/>
  <c r="E74" i="3"/>
  <c r="F86" i="3"/>
  <c r="F74" i="3"/>
  <c r="G71" i="3"/>
  <c r="F54" i="3"/>
  <c r="F42" i="3"/>
  <c r="F30" i="3"/>
  <c r="F18" i="3"/>
  <c r="G55" i="3"/>
  <c r="G43" i="3"/>
  <c r="G31" i="3"/>
  <c r="G19" i="3"/>
  <c r="E73" i="3"/>
  <c r="F85" i="3"/>
  <c r="M95" i="3"/>
  <c r="M86" i="3"/>
  <c r="M92" i="3"/>
  <c r="M94" i="3"/>
  <c r="F71" i="3"/>
  <c r="F64" i="3"/>
  <c r="F52" i="3"/>
  <c r="F40" i="3"/>
  <c r="F28" i="3"/>
  <c r="F16" i="3"/>
  <c r="G53" i="3"/>
  <c r="G41" i="3"/>
  <c r="G29" i="3"/>
  <c r="G17" i="3"/>
  <c r="E71" i="3"/>
  <c r="E108" i="3"/>
  <c r="M85" i="3"/>
  <c r="M75" i="3"/>
  <c r="M78" i="3"/>
  <c r="E101" i="3"/>
  <c r="F101" i="3"/>
  <c r="F100" i="3"/>
  <c r="E100" i="3"/>
  <c r="E102" i="3"/>
  <c r="F102" i="3"/>
  <c r="F92" i="3"/>
  <c r="E92" i="3"/>
  <c r="G69" i="3"/>
  <c r="F69" i="3"/>
  <c r="F15" i="3"/>
  <c r="H15" i="3"/>
  <c r="G15" i="3"/>
  <c r="I15" i="3"/>
  <c r="K37" i="3"/>
  <c r="I37" i="3"/>
  <c r="H37" i="3"/>
  <c r="K61" i="3"/>
  <c r="I61" i="3"/>
  <c r="H61" i="3"/>
  <c r="L61" i="3" s="1"/>
  <c r="I60" i="3"/>
  <c r="K60" i="3"/>
  <c r="H60" i="3"/>
  <c r="L60" i="3" s="1"/>
  <c r="I48" i="3"/>
  <c r="K48" i="3"/>
  <c r="H48" i="3"/>
  <c r="L48" i="3" s="1"/>
  <c r="I36" i="3"/>
  <c r="K36" i="3"/>
  <c r="H36" i="3"/>
  <c r="L36" i="3" s="1"/>
  <c r="I24" i="3"/>
  <c r="K24" i="3"/>
  <c r="H24" i="3"/>
  <c r="L24" i="3" s="1"/>
  <c r="K62" i="3"/>
  <c r="H62" i="3"/>
  <c r="L62" i="3" s="1"/>
  <c r="I62" i="3"/>
  <c r="K49" i="3"/>
  <c r="I49" i="3"/>
  <c r="H49" i="3"/>
  <c r="L49" i="3" s="1"/>
  <c r="K59" i="3"/>
  <c r="H59" i="3"/>
  <c r="L59" i="3" s="1"/>
  <c r="I59" i="3"/>
  <c r="K47" i="3"/>
  <c r="H47" i="3"/>
  <c r="I47" i="3"/>
  <c r="K35" i="3"/>
  <c r="H35" i="3"/>
  <c r="L35" i="3" s="1"/>
  <c r="I35" i="3"/>
  <c r="K23" i="3"/>
  <c r="H23" i="3"/>
  <c r="L23" i="3" s="1"/>
  <c r="I23" i="3"/>
  <c r="K25" i="3"/>
  <c r="I25" i="3"/>
  <c r="H25" i="3"/>
  <c r="L25" i="3" s="1"/>
  <c r="I58" i="3"/>
  <c r="H58" i="3"/>
  <c r="L58" i="3" s="1"/>
  <c r="K58" i="3"/>
  <c r="I46" i="3"/>
  <c r="H46" i="3"/>
  <c r="L46" i="3" s="1"/>
  <c r="K46" i="3"/>
  <c r="I34" i="3"/>
  <c r="H34" i="3"/>
  <c r="L34" i="3" s="1"/>
  <c r="K34" i="3"/>
  <c r="I22" i="3"/>
  <c r="H22" i="3"/>
  <c r="L22" i="3" s="1"/>
  <c r="K22" i="3"/>
  <c r="K63" i="3"/>
  <c r="I63" i="3"/>
  <c r="H63" i="3"/>
  <c r="L63" i="3" s="1"/>
  <c r="K39" i="3"/>
  <c r="I39" i="3"/>
  <c r="H39" i="3"/>
  <c r="L39" i="3" s="1"/>
  <c r="K26" i="3"/>
  <c r="I26" i="3"/>
  <c r="H26" i="3"/>
  <c r="I33" i="3"/>
  <c r="H33" i="3"/>
  <c r="L33" i="3" s="1"/>
  <c r="K33" i="3"/>
  <c r="H56" i="3"/>
  <c r="L56" i="3" s="1"/>
  <c r="I56" i="3"/>
  <c r="K56" i="3"/>
  <c r="I55" i="3"/>
  <c r="H55" i="3"/>
  <c r="L55" i="3" s="1"/>
  <c r="K55" i="3"/>
  <c r="I43" i="3"/>
  <c r="H43" i="3"/>
  <c r="L43" i="3" s="1"/>
  <c r="K43" i="3"/>
  <c r="I31" i="3"/>
  <c r="H31" i="3"/>
  <c r="L31" i="3" s="1"/>
  <c r="K31" i="3"/>
  <c r="I19" i="3"/>
  <c r="H19" i="3"/>
  <c r="L19" i="3" s="1"/>
  <c r="K19" i="3"/>
  <c r="K50" i="3"/>
  <c r="I50" i="3"/>
  <c r="H50" i="3"/>
  <c r="L50" i="3" s="1"/>
  <c r="K27" i="3"/>
  <c r="I27" i="3"/>
  <c r="H27" i="3"/>
  <c r="L27" i="3" s="1"/>
  <c r="K51" i="3"/>
  <c r="I51" i="3"/>
  <c r="H51" i="3"/>
  <c r="L51" i="3" s="1"/>
  <c r="K38" i="3"/>
  <c r="H38" i="3"/>
  <c r="I38" i="3"/>
  <c r="I57" i="3"/>
  <c r="H57" i="3"/>
  <c r="L57" i="3" s="1"/>
  <c r="K57" i="3"/>
  <c r="I45" i="3"/>
  <c r="H45" i="3"/>
  <c r="L45" i="3" s="1"/>
  <c r="K45" i="3"/>
  <c r="I21" i="3"/>
  <c r="K21" i="3"/>
  <c r="H21" i="3"/>
  <c r="L21" i="3" s="1"/>
  <c r="H44" i="3"/>
  <c r="L44" i="3" s="1"/>
  <c r="I44" i="3"/>
  <c r="K44" i="3"/>
  <c r="H32" i="3"/>
  <c r="L32" i="3" s="1"/>
  <c r="I32" i="3"/>
  <c r="K32" i="3"/>
  <c r="H20" i="3"/>
  <c r="L20" i="3" s="1"/>
  <c r="I20" i="3"/>
  <c r="K20" i="3"/>
  <c r="I54" i="3"/>
  <c r="H54" i="3"/>
  <c r="L54" i="3" s="1"/>
  <c r="K54" i="3"/>
  <c r="I42" i="3"/>
  <c r="H42" i="3"/>
  <c r="L42" i="3" s="1"/>
  <c r="K42" i="3"/>
  <c r="I30" i="3"/>
  <c r="H30" i="3"/>
  <c r="L30" i="3" s="1"/>
  <c r="K30" i="3"/>
  <c r="I18" i="3"/>
  <c r="H18" i="3"/>
  <c r="L18" i="3" s="1"/>
  <c r="K18" i="3"/>
  <c r="K53" i="3"/>
  <c r="H53" i="3"/>
  <c r="L53" i="3" s="1"/>
  <c r="I53" i="3"/>
  <c r="K41" i="3"/>
  <c r="H41" i="3"/>
  <c r="L41" i="3" s="1"/>
  <c r="I41" i="3"/>
  <c r="K29" i="3"/>
  <c r="H29" i="3"/>
  <c r="L29" i="3" s="1"/>
  <c r="I29" i="3"/>
  <c r="K17" i="3"/>
  <c r="H17" i="3"/>
  <c r="L17" i="3" s="1"/>
  <c r="I17" i="3"/>
  <c r="H64" i="3"/>
  <c r="L64" i="3" s="1"/>
  <c r="K64" i="3"/>
  <c r="I64" i="3"/>
  <c r="H52" i="3"/>
  <c r="L52" i="3" s="1"/>
  <c r="K52" i="3"/>
  <c r="I52" i="3"/>
  <c r="H40" i="3"/>
  <c r="L40" i="3" s="1"/>
  <c r="K40" i="3"/>
  <c r="I40" i="3"/>
  <c r="H28" i="3"/>
  <c r="L28" i="3" s="1"/>
  <c r="K28" i="3"/>
  <c r="I28" i="3"/>
  <c r="H16" i="3"/>
  <c r="L16" i="3" s="1"/>
  <c r="K16" i="3"/>
  <c r="I16" i="3"/>
  <c r="K15" i="3"/>
  <c r="G87" i="3" l="1"/>
  <c r="G84" i="3"/>
  <c r="J33" i="3"/>
  <c r="G85" i="3"/>
  <c r="J37" i="3"/>
  <c r="J57" i="3"/>
  <c r="J46" i="3"/>
  <c r="G86" i="3"/>
  <c r="J26" i="3"/>
  <c r="H86" i="3"/>
  <c r="J20" i="3"/>
  <c r="J47" i="3"/>
  <c r="G107" i="3"/>
  <c r="J31" i="3"/>
  <c r="I83" i="3"/>
  <c r="J59" i="3"/>
  <c r="L37" i="3"/>
  <c r="I75" i="3"/>
  <c r="J60" i="3"/>
  <c r="H70" i="3"/>
  <c r="J36" i="3"/>
  <c r="J25" i="3"/>
  <c r="J44" i="3"/>
  <c r="J56" i="3"/>
  <c r="G108" i="3"/>
  <c r="H101" i="3"/>
  <c r="G101" i="3"/>
  <c r="G102" i="3"/>
  <c r="H102" i="3"/>
  <c r="H100" i="3"/>
  <c r="G100" i="3"/>
  <c r="G95" i="3"/>
  <c r="G93" i="3"/>
  <c r="G94" i="3"/>
  <c r="H83" i="3"/>
  <c r="I85" i="3"/>
  <c r="I87" i="3"/>
  <c r="I84" i="3"/>
  <c r="G83" i="3"/>
  <c r="H87" i="3"/>
  <c r="H84" i="3"/>
  <c r="H85" i="3"/>
  <c r="I71" i="3"/>
  <c r="I76" i="3"/>
  <c r="I77" i="3"/>
  <c r="I78" i="3"/>
  <c r="H78" i="3"/>
  <c r="I74" i="3"/>
  <c r="I69" i="3"/>
  <c r="H77" i="3"/>
  <c r="H73" i="3"/>
  <c r="I70" i="3"/>
  <c r="H71" i="3"/>
  <c r="H75" i="3"/>
  <c r="I73" i="3"/>
  <c r="H72" i="3"/>
  <c r="H76" i="3"/>
  <c r="H69" i="3"/>
  <c r="H74" i="3"/>
  <c r="I72" i="3"/>
  <c r="J15" i="3"/>
  <c r="J19" i="3"/>
  <c r="L47" i="3"/>
  <c r="J51" i="3"/>
  <c r="J55" i="3"/>
  <c r="J21" i="3"/>
  <c r="J22" i="3"/>
  <c r="J58" i="3"/>
  <c r="J42" i="3"/>
  <c r="J62" i="3"/>
  <c r="J38" i="3"/>
  <c r="J54" i="3"/>
  <c r="J61" i="3"/>
  <c r="J40" i="3"/>
  <c r="J39" i="3"/>
  <c r="J30" i="3"/>
  <c r="J35" i="3"/>
  <c r="J16" i="3"/>
  <c r="J53" i="3"/>
  <c r="J50" i="3"/>
  <c r="J52" i="3"/>
  <c r="J64" i="3"/>
  <c r="J28" i="3"/>
  <c r="J34" i="3"/>
  <c r="J48" i="3"/>
  <c r="L26" i="3"/>
  <c r="J45" i="3"/>
  <c r="J43" i="3"/>
  <c r="J27" i="3"/>
  <c r="J17" i="3"/>
  <c r="J29" i="3"/>
  <c r="J32" i="3"/>
  <c r="L38" i="3"/>
  <c r="J41" i="3"/>
  <c r="J63" i="3"/>
  <c r="J24" i="3"/>
  <c r="J49" i="3"/>
  <c r="J23" i="3"/>
  <c r="J18" i="3"/>
  <c r="L15"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<sst xmlns="http://schemas.openxmlformats.org/spreadsheetml/2006/main" count="2535" uniqueCount="590">
  <si>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</si>
  <si>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</si>
  <si>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</si>
  <si>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</si>
  <si>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</si>
  <si>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</si>
  <si>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</si>
  <si>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</si>
  <si>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</si>
  <si>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</si>
  <si>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</si>
  <si>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</si>
  <si>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</si>
  <si>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</si>
  <si>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</si>
  <si>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</si>
  <si>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</si>
  <si>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</si>
  <si>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</si>
  <si>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</si>
  <si>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</si>
  <si>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</si>
  <si>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</si>
  <si>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</si>
  <si>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</si>
  <si>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</si>
  <si>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</si>
  <si>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</si>
  <si>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</si>
  <si>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</si>
  <si>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</si>
  <si>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</si>
  <si>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</si>
  <si>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</si>
  <si>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</si>
  <si>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</si>
  <si>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</si>
  <si>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</si>
  <si>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</si>
  <si>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</si>
  <si>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</si>
  <si>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</si>
  <si>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</si>
  <si>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</si>
  <si>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</si>
  <si>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</si>
  <si>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</si>
  <si>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</si>
  <si>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</si>
  <si>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</si>
  <si>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</si>
  <si>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</si>
  <si>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</si>
  <si>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</si>
  <si>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</si>
  <si>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</si>
  <si>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</si>
  <si>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</si>
  <si>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</si>
  <si>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</si>
  <si>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</si>
  <si>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</si>
  <si>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</si>
  <si>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</si>
  <si>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</si>
  <si>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</si>
  <si>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</si>
  <si>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</si>
  <si>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</si>
  <si>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</si>
  <si>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</si>
  <si>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</si>
  <si>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</si>
  <si>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</si>
  <si>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</si>
  <si>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</si>
  <si>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</si>
  <si>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</si>
  <si>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</si>
  <si>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</si>
  <si>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</si>
  <si>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</si>
  <si>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</si>
  <si>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</si>
  <si>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</si>
  <si>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</si>
  <si>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</si>
  <si>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</si>
  <si>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</si>
  <si>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</si>
  <si>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</si>
  <si>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</si>
  <si>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</si>
  <si>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</si>
  <si>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</si>
  <si>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</si>
  <si>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</si>
  <si>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</si>
  <si>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</si>
  <si>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</si>
  <si>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</si>
  <si>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</si>
  <si>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</si>
  <si>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</si>
  <si>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</si>
  <si>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</si>
  <si>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</si>
  <si>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</si>
  <si>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</si>
  <si>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</si>
  <si>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</si>
  <si>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</si>
  <si>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</si>
  <si>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</si>
  <si>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</si>
  <si>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</si>
  <si>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</si>
  <si>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</si>
  <si>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</si>
  <si>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</si>
  <si>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</si>
  <si>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</si>
  <si>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</si>
  <si>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</si>
  <si>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</si>
  <si>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</si>
  <si>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</si>
  <si>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</si>
  <si>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</si>
  <si>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</si>
  <si>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</si>
  <si>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</si>
  <si>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</si>
  <si>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</si>
  <si>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</si>
  <si>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</si>
  <si>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</si>
  <si>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</si>
  <si>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</si>
  <si>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</si>
  <si>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</si>
  <si>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</si>
  <si>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</si>
  <si>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</si>
  <si>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</si>
  <si>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</si>
  <si>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</si>
  <si>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</si>
  <si>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</si>
  <si>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</si>
  <si>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</si>
  <si>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</si>
  <si>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</si>
  <si>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</si>
  <si>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</si>
  <si>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</si>
  <si>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</si>
  <si>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</si>
  <si>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</si>
  <si>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</si>
  <si>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</si>
  <si>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</si>
  <si>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</si>
  <si>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</si>
  <si>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</si>
  <si>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</si>
  <si>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</si>
  <si>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</si>
  <si>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</si>
  <si>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</si>
  <si>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</si>
  <si>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</si>
  <si>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</si>
  <si>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</si>
  <si>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</si>
  <si>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</si>
  <si>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</si>
  <si>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</si>
  <si>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</si>
  <si>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</si>
  <si>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</si>
  <si>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</si>
  <si>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</si>
  <si>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</si>
  <si>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</si>
  <si>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</si>
  <si>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</si>
  <si>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</si>
  <si>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</si>
  <si>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</si>
  <si>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</si>
  <si>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</si>
  <si>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</si>
  <si>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</si>
  <si>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</si>
  <si>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</si>
  <si>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</si>
  <si>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</si>
  <si>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</si>
  <si>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</si>
  <si>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</si>
  <si>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</si>
  <si>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</si>
  <si>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</si>
  <si>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</si>
  <si>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</si>
  <si>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</si>
  <si>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</si>
  <si>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</si>
  <si>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</si>
  <si>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</si>
  <si>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</si>
  <si>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</si>
  <si>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</si>
  <si>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</si>
  <si>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</si>
  <si>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</si>
  <si>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</si>
  <si>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</si>
  <si>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</si>
  <si>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</si>
  <si>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</si>
  <si>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</si>
  <si>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</si>
  <si>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</si>
  <si>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</si>
  <si>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</si>
  <si>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</si>
  <si>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</si>
  <si>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</si>
  <si>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</si>
  <si>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</si>
  <si>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</si>
  <si>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</si>
  <si>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</si>
  <si>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</si>
  <si>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</si>
  <si>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</si>
  <si>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</si>
  <si>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</si>
  <si>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</si>
  <si>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</si>
  <si>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</si>
  <si>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</si>
  <si>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</si>
  <si>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</si>
  <si>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</si>
  <si>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</si>
  <si>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</si>
  <si>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</si>
  <si>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</si>
  <si>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</si>
  <si>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</si>
  <si>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</si>
  <si>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</si>
  <si>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</si>
  <si>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</si>
  <si>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</si>
  <si>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</si>
  <si>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</si>
  <si>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</si>
  <si>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</si>
  <si>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</si>
  <si>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</si>
  <si>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</si>
  <si>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</si>
  <si>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</si>
  <si>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</si>
  <si>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</si>
  <si>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</si>
  <si>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</si>
  <si>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</si>
  <si>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</si>
  <si>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</si>
  <si>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</si>
  <si>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</si>
  <si>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</si>
  <si>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</si>
  <si>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</si>
  <si>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</si>
  <si>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</si>
  <si>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</si>
  <si>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</si>
  <si>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</si>
  <si>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</si>
  <si>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</si>
  <si>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</si>
  <si>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</si>
  <si>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</si>
  <si>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</si>
  <si>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</si>
  <si>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</si>
  <si>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</si>
  <si>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</si>
  <si>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</si>
  <si>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</si>
  <si>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</si>
  <si>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</si>
  <si>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</si>
  <si>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</si>
  <si>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</si>
  <si>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</si>
  <si>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</si>
  <si>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</si>
  <si>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</si>
  <si>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</si>
  <si>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</si>
  <si>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</si>
  <si>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</si>
  <si>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</si>
  <si>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</si>
  <si>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</si>
  <si>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</si>
  <si>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</si>
  <si>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</si>
  <si>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</si>
  <si>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</si>
  <si>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</si>
  <si>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</si>
  <si>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</si>
  <si>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</si>
  <si>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</si>
  <si>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</si>
  <si>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</si>
  <si>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</si>
  <si>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</si>
  <si>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</si>
  <si>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</si>
  <si>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</si>
  <si>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</si>
  <si>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</si>
  <si>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</si>
  <si>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</si>
  <si>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</si>
  <si>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</si>
  <si>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</si>
  <si>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</si>
  <si>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</si>
  <si>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</si>
  <si>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</si>
  <si>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</si>
  <si>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</si>
  <si>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</si>
  <si>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</si>
  <si>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</si>
  <si>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</si>
  <si>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</si>
  <si>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</si>
  <si>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</si>
  <si>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</si>
  <si>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</si>
  <si>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</si>
  <si>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</si>
  <si>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</si>
  <si>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</si>
  <si>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</si>
  <si>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</si>
  <si>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</si>
  <si>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</si>
  <si>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</si>
  <si>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</si>
  <si>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</si>
  <si>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</si>
  <si>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</si>
  <si>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</si>
  <si>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</si>
  <si>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</si>
  <si>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</si>
  <si>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</si>
  <si>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</si>
  <si>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</si>
  <si>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</si>
  <si>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</si>
  <si>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</si>
  <si>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</si>
  <si>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</si>
  <si>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</si>
  <si>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</si>
  <si>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</si>
  <si>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</si>
  <si>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</si>
  <si>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</si>
  <si>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</si>
  <si>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</si>
  <si>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</si>
  <si>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</si>
  <si>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</si>
  <si>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</si>
  <si>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</si>
  <si>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</si>
  <si>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</si>
  <si>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</si>
  <si>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</si>
  <si>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</si>
  <si>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</si>
  <si>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</si>
  <si>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</si>
  <si>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</si>
  <si>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</si>
  <si>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DATE &amp; TIME FUNCTIONS</t>
  </si>
  <si>
    <t>Today's Date</t>
  </si>
  <si>
    <t>Current Date &amp; Time</t>
  </si>
  <si>
    <t>Days Covered</t>
  </si>
  <si>
    <t>Months Covered</t>
  </si>
  <si>
    <t>End of Current Month</t>
  </si>
  <si>
    <t>End of Next Month</t>
  </si>
  <si>
    <t>KEY PERFORMANCE INDICATOR (KPI)</t>
  </si>
  <si>
    <t>Total Revenue</t>
  </si>
  <si>
    <t>Total Unit Sold</t>
  </si>
  <si>
    <t>Total Transaction</t>
  </si>
  <si>
    <t>Avg Transaction Value</t>
  </si>
  <si>
    <t>MAX Transaction</t>
  </si>
  <si>
    <t>MIN Transaction</t>
  </si>
  <si>
    <t>Rank</t>
  </si>
  <si>
    <t>Customer Name</t>
  </si>
  <si>
    <t>Customer ID</t>
  </si>
  <si>
    <t>Segment</t>
  </si>
  <si>
    <t>Transaction Count</t>
  </si>
  <si>
    <t>Avg Order Value</t>
  </si>
  <si>
    <t>Abbreviation</t>
  </si>
  <si>
    <t>High Value?</t>
  </si>
  <si>
    <t>PRODUCT ANALYSIS &amp; MOST FREQUENT</t>
  </si>
  <si>
    <t>Product Name</t>
  </si>
  <si>
    <t>Total Qty Sold</t>
  </si>
  <si>
    <t>% of Revenue</t>
  </si>
  <si>
    <t>Frequency Rank</t>
  </si>
  <si>
    <t>REGIONAL SALES ANALYSIS</t>
  </si>
  <si>
    <t>% Share</t>
  </si>
  <si>
    <t>PAYMENT METHOD ANALYSIS</t>
  </si>
  <si>
    <t>Payment Method</t>
  </si>
  <si>
    <t>Count</t>
  </si>
  <si>
    <t>% of Transactions</t>
  </si>
  <si>
    <t>CUSTOMER SEGMENT ANALYSIS</t>
  </si>
  <si>
    <t>Avg Revenue</t>
  </si>
  <si>
    <t>CATEGORY ANALYSIS</t>
  </si>
  <si>
    <t>Total Qty</t>
  </si>
  <si>
    <t>% Revenue</t>
  </si>
  <si>
    <t>Avg Unit Price</t>
  </si>
  <si>
    <t>Match</t>
  </si>
  <si>
    <t>COMPARE TWO LISTS</t>
  </si>
  <si>
    <t>Premuim Customer</t>
  </si>
  <si>
    <t xml:space="preserve">High Spenders </t>
  </si>
  <si>
    <t>Qty</t>
  </si>
  <si>
    <t>WHATIF ANALYSIS – Scenario Manager &amp; Goal Seek</t>
  </si>
  <si>
    <t>Growth Rate</t>
  </si>
  <si>
    <t>Projected Revenue</t>
  </si>
  <si>
    <t>Projected Orders</t>
  </si>
  <si>
    <t>Total Transactions</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</si>
  <si>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</si>
  <si>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</si>
  <si>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</si>
  <si>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</si>
  <si>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</si>
  <si>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</si>
  <si>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</si>
  <si>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</si>
  <si>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</si>
  <si>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</si>
  <si>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</si>
  <si>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</si>
  <si>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</si>
  <si>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</si>
  <si>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</si>
  <si>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</si>
  <si>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</si>
  <si>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</si>
  <si>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</si>
  <si>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</si>
  <si>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</si>
  <si>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</si>
  <si>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</si>
  <si>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LINEAR REGRESSION - TOOLPACK</t>
  </si>
  <si>
    <t>Revenue by Region</t>
  </si>
  <si>
    <t>Revenue by Category</t>
  </si>
  <si>
    <t>Jan</t>
  </si>
  <si>
    <t>Feb</t>
  </si>
  <si>
    <t>Mar</t>
  </si>
  <si>
    <t>Apr</t>
  </si>
  <si>
    <t>May</t>
  </si>
  <si>
    <t>Jun</t>
  </si>
  <si>
    <t>Jul</t>
  </si>
  <si>
    <t>Aug</t>
  </si>
  <si>
    <t>Sep</t>
  </si>
  <si>
    <t>Oct</t>
  </si>
  <si>
    <t>Nov</t>
  </si>
  <si>
    <t>Dec</t>
  </si>
  <si>
    <t>Months (2024)</t>
  </si>
  <si>
    <t>Revenue by Product</t>
  </si>
  <si>
    <t>Products</t>
  </si>
  <si>
    <t>Revenue by Segment</t>
  </si>
  <si>
    <t>Avg Revenuet</t>
  </si>
  <si>
    <t>Segments</t>
  </si>
  <si>
    <t>Top 10 Customers</t>
  </si>
  <si>
    <t>Total Amount</t>
  </si>
  <si>
    <t>Units Sold by Product</t>
  </si>
  <si>
    <t>Total Units</t>
  </si>
  <si>
    <t>Units Sold by Category</t>
  </si>
  <si>
    <t>Monthly Revenue Trend</t>
  </si>
  <si>
    <t>💰 TOTAL REVENUE</t>
  </si>
  <si>
    <t>📦 TOTAL ORDERS</t>
  </si>
  <si>
    <t>🏷️ AVG ORDER VALUE</t>
  </si>
  <si>
    <t>👥 UNIQUE CUSTOMERS</t>
  </si>
  <si>
    <t>📊 UNITS SOLD</t>
  </si>
  <si>
    <t>🏆 CUSTOMER TRANSACTION ANALYSIS DASHBOARD</t>
  </si>
  <si>
    <t>📋  FINAL INSIGHTS - SUMMARY</t>
  </si>
  <si>
    <t>EXECUTIVE SUMMARY</t>
  </si>
  <si>
    <t xml:space="preserve">  Total Revenue Generated:</t>
  </si>
  <si>
    <t xml:space="preserve">  Analysis Period:</t>
  </si>
  <si>
    <t>April 2024 to April 2025 — 12 months of data</t>
  </si>
  <si>
    <t xml:space="preserve">  Dataset Coverage:</t>
  </si>
  <si>
    <t>50 unique customers, 10 products, 5 regions, 3 segments</t>
  </si>
  <si>
    <t xml:space="preserve">  Avg Transaction Value:</t>
  </si>
  <si>
    <t>Increase marketing investment in South &amp; Central regions to close the gap</t>
  </si>
  <si>
    <t>North and West combined represent ~40% of total revenue — strong growth corridor</t>
  </si>
  <si>
    <t>Multiple customers appear across 3+ transactions — strong loyalty signals</t>
  </si>
  <si>
    <t>Launch VIP loyalty program for top 10 customers to retain and upsell</t>
  </si>
  <si>
    <t>Bookshelf: 102 units sold — highest volume product</t>
  </si>
  <si>
    <t>Coffee Maker: lowest revenue — consider bundle promotions</t>
  </si>
  <si>
    <t>Focus on Laptop/Smartphone upselling and Bookshelf cross-selling bundles</t>
  </si>
  <si>
    <t>All 4 payment methods are nearly equally distributed (~25% each)</t>
  </si>
  <si>
    <t>Premium customers generate highest avg order values</t>
  </si>
  <si>
    <t>Basic segment has the most customers but lowest per-transaction value</t>
  </si>
  <si>
    <t>Exactly 12 months (April 2024 – April 2025)</t>
  </si>
  <si>
    <t>Monthly revenue shows variation — identify peak months for promotions</t>
  </si>
  <si>
    <t>Average customer tenure calculated using DATEDIF — loyal customer base</t>
  </si>
  <si>
    <t>Use EOMONTH to set monthly revenue targets and track vs actuals</t>
  </si>
  <si>
    <t>FORMULAS &amp; FUNCTIONS USED</t>
  </si>
  <si>
    <t xml:space="preserve">  Date &amp; Time:</t>
  </si>
  <si>
    <t>TODAY(), NOW(), DATEDIF(), EOMONTH(), TEXT(), DATEVALUE()</t>
  </si>
  <si>
    <t xml:space="preserve">  Lookup &amp; Reference:</t>
  </si>
  <si>
    <t>VLOOKUP, INDEX/MATCH, INDIRECT, OFFSET</t>
  </si>
  <si>
    <t xml:space="preserve">  Statistical:</t>
  </si>
  <si>
    <t>SUM, AVERAGE, MAX, MIN, COUNT, COUNTA, RANK, RSQ, SLOPE, INTERCEPT</t>
  </si>
  <si>
    <t xml:space="preserve">  Conditional:</t>
  </si>
  <si>
    <t>SUMIF, COUNTIF, AVERAGEIF, SUMPRODUCT, IF, IFS</t>
  </si>
  <si>
    <t xml:space="preserve">  Text Functions:</t>
  </si>
  <si>
    <t>LEFT(), MID(), RIGHT(), FIND(), LEN(), CONCAT(), UPPER()</t>
  </si>
  <si>
    <t xml:space="preserve">  Array Functions:</t>
  </si>
  <si>
    <t>FILTER() [Excel 365], UNIQUE(), SORT(), dynamic arrays</t>
  </si>
  <si>
    <t xml:space="preserve">  What-If Tools:</t>
  </si>
  <si>
    <t>Scenario Manager (3 scenarios), Goal Seek (Revenue targets)</t>
  </si>
  <si>
    <t xml:space="preserve">  Formatting:</t>
  </si>
  <si>
    <t>Conditional Formatting with ColorScale, DataBar, Icon Sets</t>
  </si>
  <si>
    <t>RECOMMENDATIONS &amp; NEXT STEPS</t>
  </si>
  <si>
    <t xml:space="preserve">  1. Customer Retention:</t>
  </si>
  <si>
    <t>Launch loyalty rewards for top 20 customers (80/20 rule applies)</t>
  </si>
  <si>
    <t xml:space="preserve">  2. Regional Expansion:</t>
  </si>
  <si>
    <t>Invest in South region — lowest revenue, highest growth potential</t>
  </si>
  <si>
    <t xml:space="preserve">  3. Product Bundling:</t>
  </si>
  <si>
    <t>Bundle Coffee Maker + Blender at discount to boost Appliances revenue</t>
  </si>
  <si>
    <t xml:space="preserve">  4. Seasonal Campaigns:</t>
  </si>
  <si>
    <t>Analyze monthly peaks; run targeted promos in low-revenue months</t>
  </si>
  <si>
    <t xml:space="preserve">  5. Segment Migration:</t>
  </si>
  <si>
    <t>Create upgrade paths: Basic→Standard (10% off next purchase incentive)</t>
  </si>
  <si>
    <t xml:space="preserve">  6. Data Collection:</t>
  </si>
  <si>
    <t>Add product ratings, return rates, and customer satisfaction scores</t>
  </si>
  <si>
    <t>REGIONAL PERFORMANCE</t>
  </si>
  <si>
    <t xml:space="preserve">  Lowest Region:</t>
  </si>
  <si>
    <t xml:space="preserve">  Top Region:</t>
  </si>
  <si>
    <t xml:space="preserve">  Recommendation:</t>
  </si>
  <si>
    <t xml:space="preserve">  Insight:</t>
  </si>
  <si>
    <t xml:space="preserve">  Top Customer:</t>
  </si>
  <si>
    <t xml:space="preserve">  High-Value Threshold:</t>
  </si>
  <si>
    <t xml:space="preserve">  Repeat Buyers:</t>
  </si>
  <si>
    <t>CUSTOMER BEHAVIOR</t>
  </si>
  <si>
    <t>PRODUCT ANALYSIS</t>
  </si>
  <si>
    <t xml:space="preserve">  Highest Revenue Product:</t>
  </si>
  <si>
    <t xml:space="preserve">  Most Units Sold:</t>
  </si>
  <si>
    <t xml:space="preserve">  Highest Price Point:</t>
  </si>
  <si>
    <t xml:space="preserve">  Lowest Revenue:</t>
  </si>
  <si>
    <t>PAYMENT &amp; CUSTOMER SEGMENTS</t>
  </si>
  <si>
    <t xml:space="preserve">  Preferred Payment:</t>
  </si>
  <si>
    <t xml:space="preserve">  Top Segment by Revenue:</t>
  </si>
  <si>
    <t xml:space="preserve">  Segment Opportunity:</t>
  </si>
  <si>
    <t>Introduce upgrade incentives to move Basic / Standard / Premium tiers</t>
  </si>
  <si>
    <t>TIME &amp; TREND ANALYSIS</t>
  </si>
  <si>
    <t xml:space="preserve">  Dataset Span:</t>
  </si>
  <si>
    <t xml:space="preserve">  Revenue Trend:</t>
  </si>
  <si>
    <t xml:space="preserve">  Customer Tenure:</t>
  </si>
  <si>
    <t xml:space="preserve">  End of Month Targets:</t>
  </si>
  <si>
    <t>East Region leads with ₹59,288 revenue (25.9% share)</t>
  </si>
  <si>
    <t>South Region trails at ₹36,399 (15.9% share)</t>
  </si>
  <si>
    <t>Mark Carter: ₹15,660 revenue — 6.8% of all revenue from 1 customer!</t>
  </si>
  <si>
    <t>Customers generating &gt;₹5,000 qualify as High-Value (top 10 customers)</t>
  </si>
  <si>
    <t>Smartphone: ~₹60,000+ total revenue despite fewer transactions</t>
  </si>
  <si>
    <t>Laptop: ₹899.99 per unit — premium category driver</t>
  </si>
  <si>
    <t>📊 PIVOT TABLES</t>
  </si>
  <si>
    <t>🔍  CUSTOMER TRANSACTION ANALYSIS</t>
  </si>
  <si>
    <t>🗃️ RAW DATASET</t>
  </si>
  <si>
    <t xml:space="preserve"> FILTER FUNCTION – HIGH-VALUE TRANSACTIONS (&gt;3000)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</si>
</sst>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yyyy\-mm\-dd"/>
    <numFmt numFmtId="165" formatCode="[$-F800]dddd\,\ mmmm\ dd\,\ yyyy"/>
    <numFmt numFmtId="166" formatCode="\$#,##0.00"/>
    <numFmt numFmtId="167" formatCode="0.0%"/>
    <numFmt numFmtId="168" formatCode="dd\-mmm\-yyyy"/>
    <numFmt numFmtId="169" formatCode="&quot;₹&quot;\ #,##0.00"/>
  </numFmts>
  <fonts count="2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theme="1"/>
      <name val="Times New Roman"/>
      <family val="1"/>
    </font>
    <font>
      <sz val="10"/>
      <color rgb="FF000000"/>
      <name val="Arial"/>
      <family val="2"/>
    </font>
    <font>
      <b/>
      <sz val="10"/>
      <color rgb="FF000000"/>
      <name val="Arial"/>
      <family val="2"/>
    </font>
    <font>
      <b/>
      <sz val="11"/>
      <color theme="3"/>
      <name val="Times New Roman"/>
      <family val="1"/>
    </font>
    <font>
      <sz val="10"/>
      <color theme="3"/>
      <name val="Arial"/>
      <family val="2"/>
    </font>
    <font>
      <b/>
      <sz val="10"/>
      <color rgb="FF1F3864"/>
      <name val="Arial"/>
      <family val="2"/>
    </font>
    <font>
      <b/>
      <sz val="10"/>
      <color theme="1"/>
      <name val="Times New Roman"/>
      <family val="1"/>
    </font>
    <font>
      <i/>
      <sz val="11"/>
      <color theme="1"/>
      <name val="Calibri"/>
      <family val="2"/>
      <scheme val="minor"/>
    </font>
    <font>
      <b/>
      <sz val="12"/>
      <color theme="1"/>
      <name val="Times New Roman"/>
      <family val="1"/>
    </font>
    <font>
      <b/>
      <sz val="10"/>
      <color theme="1"/>
      <name val="Arial"/>
      <family val="2"/>
    </font>
    <font>
      <sz val="14"/>
      <color theme="7" tint="-0.499984740745262"/>
      <name val="Calibri"/>
      <family val="2"/>
      <scheme val="minor"/>
    </font>
    <font>
      <b/>
      <sz val="16"/>
      <color theme="0"/>
      <name val="Times New Roman"/>
      <family val="1"/>
    </font>
    <font>
      <b/>
      <sz val="18"/>
      <color theme="0"/>
      <name val="Times New Roman"/>
      <family val="1"/>
    </font>
    <font>
      <b/>
      <sz val="13"/>
      <color theme="1"/>
      <name val="Times New Roman"/>
      <family val="1"/>
    </font>
    <font>
      <b/>
      <sz val="20"/>
      <color theme="0"/>
      <name val="Times New Roman"/>
      <family val="1"/>
    </font>
    <font>
      <b/>
      <sz val="14"/>
      <color theme="3"/>
      <name val="Times New Roman"/>
      <family val="1"/>
    </font>
  </fonts>
  <fills count="18">
    <fill>
      <patternFill patternType="none"/>
    </fill>
    <fill>
      <patternFill patternType="gray125"/>
    </fill>
    <fill>
      <patternFill patternType="solid">
        <fgColor theme="7" tint="0.59999389629810485"/>
        <bgColor indexed="64"/>
      </patternFill>
    </fill>
    <fill>
      <patternFill patternType="solid">
        <fgColor rgb="FFFFFFFF"/>
        <bgColor rgb="FFF9F9F9"/>
      </patternFill>
    </fill>
    <fill>
      <patternFill patternType="solid">
        <fgColor theme="7" tint="0.59999389629810485"/>
        <bgColor rgb="FF397BCA"/>
      </patternFill>
    </fill>
    <fill>
      <patternFill patternType="solid">
        <fgColor theme="0" tint="-4.9989318521683403E-2"/>
        <bgColor indexed="64"/>
      </patternFill>
    </fill>
    <fill>
      <patternFill patternType="solid">
        <fgColor theme="2"/>
        <bgColor indexed="64"/>
      </patternFill>
    </fill>
    <fill>
      <patternFill patternType="solid">
        <fgColor theme="7" tint="0.39997558519241921"/>
        <bgColor indexed="64"/>
      </patternFill>
    </fill>
    <fill>
      <patternFill patternType="solid">
        <fgColor theme="7" tint="0.79998168889431442"/>
        <bgColor rgb="FFF9F9F9"/>
      </patternFill>
    </fill>
    <fill>
      <patternFill patternType="solid">
        <fgColor theme="7" tint="0.79998168889431442"/>
        <bgColor indexed="64"/>
      </patternFill>
    </fill>
    <fill>
      <patternFill patternType="solid">
        <fgColor theme="7" tint="0.39997558519241921"/>
        <bgColor rgb="FF397BCA"/>
      </patternFill>
    </fill>
    <fill>
      <patternFill patternType="solid">
        <fgColor theme="7" tint="-0.249977111117893"/>
        <bgColor indexed="64"/>
      </patternFill>
    </fill>
    <fill>
      <patternFill patternType="solid">
        <fgColor theme="7" tint="0.59999389629810485"/>
        <bgColor rgb="FFF9F9F9"/>
      </patternFill>
    </fill>
    <fill>
      <patternFill patternType="solid">
        <fgColor theme="7" tint="0.59999389629810485"/>
        <bgColor rgb="FF333333"/>
      </patternFill>
    </fill>
    <fill>
      <patternFill patternType="solid">
        <fgColor theme="7" tint="0.59999389629810485"/>
        <bgColor rgb="FFFF8080"/>
      </patternFill>
    </fill>
    <fill>
      <patternFill patternType="solid">
        <fgColor theme="7" tint="0.59999389629810485"/>
        <bgColor rgb="FF779637"/>
      </patternFill>
    </fill>
    <fill>
      <patternFill patternType="solid">
        <fgColor theme="7" tint="0.59999389629810485"/>
        <bgColor rgb="FF800080"/>
      </patternFill>
    </fill>
    <fill>
      <patternFill patternType="solid">
        <fgColor theme="7" tint="-0.49998474074526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bottom style="thin">
        <color rgb="FFCCCCCC"/>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CCCCCC"/>
      </left>
      <right style="thin">
        <color rgb="FFCCCCCC"/>
      </right>
      <top style="thin">
        <color rgb="FFCCCCCC"/>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84">
    <xf numFmtId="0" fontId="0" fillId="0" borderId="0" xfId="0"/>
    <xf numFmtId="0" fontId="4" fillId="0" borderId="0" xfId="0" applyFont="1"/>
    <xf numFmtId="0" fontId="0" fillId="0" borderId="0" xfId="0" applyAlignment="1">
      <alignment horizontal="center" vertical="center"/>
    </xf>
    <xf numFmtId="166" fontId="6" fillId="3" borderId="2" xfId="0" applyNumberFormat="1" applyFont="1" applyFill="1" applyBorder="1" applyAlignment="1">
      <alignment horizontal="center" vertical="center" wrapText="1"/>
    </xf>
    <xf numFmtId="0" fontId="8" fillId="4" borderId="1" xfId="0" applyFont="1" applyFill="1" applyBorder="1" applyAlignment="1">
      <alignment horizontal="center" vertical="center" wrapText="1"/>
    </xf>
    <xf numFmtId="166" fontId="6" fillId="3" borderId="6" xfId="0" applyNumberFormat="1" applyFont="1" applyFill="1" applyBorder="1" applyAlignment="1">
      <alignment horizontal="center" vertical="center" wrapText="1"/>
    </xf>
    <xf numFmtId="0" fontId="12" fillId="5" borderId="1" xfId="0" applyFont="1" applyFill="1" applyBorder="1" applyAlignment="1">
      <alignment horizontal="center"/>
    </xf>
    <xf numFmtId="0" fontId="2" fillId="5" borderId="1" xfId="0" applyFont="1" applyFill="1" applyBorder="1" applyAlignment="1">
      <alignment horizontal="center" vertical="center"/>
    </xf>
    <xf numFmtId="0" fontId="13" fillId="7" borderId="11" xfId="0" applyFont="1" applyFill="1" applyBorder="1" applyAlignment="1">
      <alignment horizontal="center" vertical="center"/>
    </xf>
    <xf numFmtId="0" fontId="13" fillId="7" borderId="12" xfId="0" applyFont="1" applyFill="1" applyBorder="1" applyAlignment="1">
      <alignment horizontal="center" vertical="center"/>
    </xf>
    <xf numFmtId="0" fontId="13" fillId="7" borderId="7" xfId="0" applyFont="1" applyFill="1" applyBorder="1" applyAlignment="1">
      <alignment horizontal="center" vertical="center"/>
    </xf>
    <xf numFmtId="0" fontId="1" fillId="9" borderId="4" xfId="0" applyFont="1" applyFill="1" applyBorder="1" applyAlignment="1">
      <alignment horizontal="center" vertical="center"/>
    </xf>
    <xf numFmtId="164" fontId="1" fillId="9"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0" fontId="1" fillId="9" borderId="10" xfId="0" applyFont="1" applyFill="1" applyBorder="1" applyAlignment="1">
      <alignment horizontal="center" vertical="center"/>
    </xf>
    <xf numFmtId="164" fontId="1" fillId="9" borderId="13" xfId="0" applyNumberFormat="1" applyFont="1" applyFill="1" applyBorder="1" applyAlignment="1">
      <alignment horizontal="center" vertical="center"/>
    </xf>
    <xf numFmtId="0" fontId="1" fillId="9" borderId="13" xfId="0" applyFont="1" applyFill="1" applyBorder="1" applyAlignment="1">
      <alignment horizontal="center" vertical="center"/>
    </xf>
    <xf numFmtId="169" fontId="1" fillId="9" borderId="3" xfId="0" applyNumberFormat="1" applyFont="1" applyFill="1" applyBorder="1" applyAlignment="1">
      <alignment horizontal="center" vertical="center"/>
    </xf>
    <xf numFmtId="169" fontId="1" fillId="9" borderId="9" xfId="0" applyNumberFormat="1" applyFont="1" applyFill="1" applyBorder="1" applyAlignment="1">
      <alignment horizontal="center" vertical="center"/>
    </xf>
    <xf numFmtId="169" fontId="1" fillId="9" borderId="1" xfId="0" applyNumberFormat="1" applyFont="1" applyFill="1" applyBorder="1" applyAlignment="1">
      <alignment horizontal="center" vertical="center"/>
    </xf>
    <xf numFmtId="169" fontId="1" fillId="9" borderId="13" xfId="0" applyNumberFormat="1" applyFont="1" applyFill="1" applyBorder="1" applyAlignment="1">
      <alignment horizontal="center" vertical="center"/>
    </xf>
    <xf numFmtId="0" fontId="5" fillId="2" borderId="1" xfId="0" applyFont="1" applyFill="1" applyBorder="1" applyAlignment="1">
      <alignment horizontal="center" vertical="center"/>
    </xf>
    <xf numFmtId="0" fontId="0" fillId="2" borderId="1" xfId="0" applyFill="1" applyBorder="1" applyAlignment="1">
      <alignment horizontal="center" vertical="center"/>
    </xf>
    <xf numFmtId="0" fontId="6" fillId="8" borderId="1" xfId="0" applyFont="1" applyFill="1" applyBorder="1" applyAlignment="1">
      <alignment horizontal="left" vertical="center"/>
    </xf>
    <xf numFmtId="0" fontId="8" fillId="10" borderId="1" xfId="0" applyFont="1" applyFill="1" applyBorder="1" applyAlignment="1">
      <alignment horizontal="center" vertical="center" wrapText="1"/>
    </xf>
    <xf numFmtId="0" fontId="14" fillId="12" borderId="1" xfId="0" applyFont="1" applyFill="1" applyBorder="1" applyAlignment="1">
      <alignment horizontal="left" vertical="center"/>
    </xf>
    <xf numFmtId="0" fontId="0" fillId="2" borderId="1" xfId="0" applyFill="1" applyBorder="1"/>
    <xf numFmtId="0" fontId="0" fillId="9" borderId="1" xfId="0" applyFill="1" applyBorder="1" applyAlignment="1">
      <alignment horizontal="center" vertical="center"/>
    </xf>
    <xf numFmtId="169" fontId="0" fillId="9" borderId="1" xfId="0" applyNumberFormat="1" applyFill="1" applyBorder="1" applyAlignment="1">
      <alignment horizontal="center" vertical="center"/>
    </xf>
    <xf numFmtId="0" fontId="11" fillId="14"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12" fillId="2" borderId="1" xfId="0" applyFont="1" applyFill="1" applyBorder="1" applyAlignment="1">
      <alignment horizontal="center"/>
    </xf>
    <xf numFmtId="169" fontId="15" fillId="6" borderId="1" xfId="0" applyNumberFormat="1" applyFont="1" applyFill="1" applyBorder="1" applyAlignment="1">
      <alignment horizontal="center" vertical="center"/>
    </xf>
    <xf numFmtId="0" fontId="15" fillId="6" borderId="1" xfId="0" applyFont="1" applyFill="1" applyBorder="1" applyAlignment="1">
      <alignment horizontal="center" vertical="center"/>
    </xf>
    <xf numFmtId="0" fontId="19" fillId="11" borderId="1" xfId="0" applyFont="1" applyFill="1" applyBorder="1" applyAlignment="1">
      <alignment horizontal="center" vertical="center"/>
    </xf>
    <xf numFmtId="0" fontId="20" fillId="13" borderId="1"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20" fillId="14" borderId="1" xfId="0" applyFont="1" applyFill="1" applyBorder="1" applyAlignment="1">
      <alignment horizontal="center" vertical="center" wrapText="1"/>
    </xf>
    <xf numFmtId="0" fontId="20" fillId="15" borderId="1" xfId="0" applyFont="1" applyFill="1" applyBorder="1" applyAlignment="1">
      <alignment horizontal="center" vertical="center" wrapText="1"/>
    </xf>
    <xf numFmtId="0" fontId="20" fillId="16" borderId="1" xfId="0" applyFont="1" applyFill="1" applyBorder="1" applyAlignment="1">
      <alignment horizontal="center" vertical="center" wrapText="1"/>
    </xf>
    <xf numFmtId="0" fontId="16" fillId="11"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7" borderId="1" xfId="0" applyFont="1" applyFill="1" applyBorder="1" applyAlignment="1">
      <alignment horizontal="center"/>
    </xf>
    <xf numFmtId="0" fontId="2" fillId="2" borderId="1" xfId="0" applyFont="1" applyFill="1" applyBorder="1" applyAlignment="1">
      <alignment horizontal="center"/>
    </xf>
    <xf numFmtId="0" fontId="0" fillId="2" borderId="1" xfId="0" applyFill="1" applyBorder="1" applyAlignment="1">
      <alignment horizont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5" fillId="7" borderId="3" xfId="0" applyFont="1" applyFill="1" applyBorder="1" applyAlignment="1">
      <alignment horizontal="center"/>
    </xf>
    <xf numFmtId="0" fontId="5" fillId="7" borderId="4" xfId="0" applyFont="1" applyFill="1" applyBorder="1" applyAlignment="1">
      <alignment horizontal="center"/>
    </xf>
    <xf numFmtId="0" fontId="4" fillId="7" borderId="1" xfId="0" applyFont="1" applyFill="1" applyBorder="1" applyAlignment="1">
      <alignment horizontal="center" vertical="center"/>
    </xf>
    <xf numFmtId="0" fontId="8" fillId="7" borderId="1" xfId="0" applyFont="1" applyFill="1" applyBorder="1" applyAlignment="1">
      <alignment horizontal="center" vertical="center"/>
    </xf>
    <xf numFmtId="0" fontId="0" fillId="7" borderId="1" xfId="0" applyFill="1" applyBorder="1" applyAlignment="1">
      <alignment horizontal="center" vertical="center"/>
    </xf>
    <xf numFmtId="0" fontId="3" fillId="2" borderId="1" xfId="0" applyFont="1" applyFill="1" applyBorder="1" applyAlignment="1">
      <alignment horizontal="center" vertical="center"/>
    </xf>
    <xf numFmtId="0" fontId="5" fillId="7" borderId="3" xfId="0" applyFont="1" applyFill="1" applyBorder="1" applyAlignment="1">
      <alignment horizontal="center" vertical="center"/>
    </xf>
    <xf numFmtId="0" fontId="5" fillId="7" borderId="5" xfId="0" applyFont="1" applyFill="1" applyBorder="1" applyAlignment="1">
      <alignment horizontal="center" vertical="center"/>
    </xf>
    <xf numFmtId="0" fontId="5" fillId="7" borderId="4" xfId="0" applyFont="1" applyFill="1" applyBorder="1" applyAlignment="1">
      <alignment horizontal="center" vertical="center"/>
    </xf>
    <xf numFmtId="0" fontId="0" fillId="2" borderId="1" xfId="0" applyFill="1" applyBorder="1" applyAlignment="1">
      <alignment horizontal="center" vertical="center"/>
    </xf>
    <xf numFmtId="0" fontId="5" fillId="7" borderId="7" xfId="0" applyFont="1" applyFill="1" applyBorder="1" applyAlignment="1">
      <alignment horizontal="center" vertical="center"/>
    </xf>
    <xf numFmtId="0" fontId="5" fillId="7" borderId="8" xfId="0" applyFont="1" applyFill="1" applyBorder="1" applyAlignment="1">
      <alignment horizontal="center" vertical="center"/>
    </xf>
    <xf numFmtId="0" fontId="17" fillId="11" borderId="1" xfId="0" applyFont="1" applyFill="1" applyBorder="1" applyAlignment="1">
      <alignment horizontal="center" vertical="center"/>
    </xf>
    <xf numFmtId="0" fontId="6" fillId="8" borderId="1" xfId="0" applyFont="1" applyFill="1" applyBorder="1" applyAlignment="1">
      <alignment horizontal="left" vertical="center"/>
    </xf>
    <xf numFmtId="0" fontId="18" fillId="10" borderId="1" xfId="0" applyFont="1" applyFill="1" applyBorder="1" applyAlignment="1">
      <alignment horizontal="center" vertical="center"/>
    </xf>
    <xf numFmtId="169" fontId="6" fillId="8" borderId="1" xfId="0" applyNumberFormat="1" applyFont="1" applyFill="1" applyBorder="1" applyAlignment="1">
      <alignment horizontal="left" vertical="center"/>
    </xf>
    <xf numFmtId="0" fontId="0" fillId="17" borderId="0" xfId="0" applyFill="1"/>
    <xf numFmtId="14" fontId="0" fillId="9" borderId="1" xfId="0" applyNumberFormat="1" applyFill="1" applyBorder="1" applyAlignment="1">
      <alignment horizontal="center" vertical="center"/>
    </xf>
    <xf numFmtId="0" fontId="0" fillId="9" borderId="1" xfId="0" applyFill="1" applyBorder="1" applyAlignment="1">
      <alignment horizontal="center" vertical="center"/>
    </xf>
    <xf numFmtId="22" fontId="0" fillId="9" borderId="1" xfId="0" applyNumberFormat="1" applyFill="1" applyBorder="1" applyAlignment="1">
      <alignment horizontal="center" vertical="center"/>
    </xf>
    <xf numFmtId="165" fontId="0" fillId="9" borderId="1" xfId="0" applyNumberFormat="1" applyFill="1" applyBorder="1" applyAlignment="1">
      <alignment horizontal="center" vertical="center"/>
    </xf>
    <xf numFmtId="169" fontId="0" fillId="9" borderId="1" xfId="0" applyNumberFormat="1" applyFill="1" applyBorder="1" applyAlignment="1">
      <alignment horizontal="center" vertical="center"/>
    </xf>
    <xf numFmtId="0" fontId="6" fillId="9" borderId="1" xfId="0" applyFont="1" applyFill="1" applyBorder="1" applyAlignment="1">
      <alignment horizontal="center" vertical="center" wrapText="1"/>
    </xf>
    <xf numFmtId="0" fontId="7" fillId="9" borderId="1" xfId="0" applyFont="1" applyFill="1" applyBorder="1" applyAlignment="1">
      <alignment horizontal="left" vertical="center"/>
    </xf>
    <xf numFmtId="169" fontId="6" fillId="8" borderId="1" xfId="0" applyNumberFormat="1" applyFont="1" applyFill="1" applyBorder="1" applyAlignment="1">
      <alignment horizontal="center" vertical="center" wrapText="1"/>
    </xf>
    <xf numFmtId="0" fontId="6" fillId="8"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7" fillId="8" borderId="1" xfId="0" applyFont="1" applyFill="1" applyBorder="1" applyAlignment="1">
      <alignment horizontal="left" vertical="center"/>
    </xf>
    <xf numFmtId="167" fontId="6" fillId="8" borderId="1" xfId="0" applyNumberFormat="1" applyFont="1" applyFill="1" applyBorder="1" applyAlignment="1">
      <alignment horizontal="center" vertical="center" wrapText="1"/>
    </xf>
    <xf numFmtId="0" fontId="10" fillId="8"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168" fontId="6" fillId="8" borderId="1" xfId="0" applyNumberFormat="1" applyFont="1" applyFill="1" applyBorder="1" applyAlignment="1">
      <alignment horizontal="center" vertical="center" wrapText="1"/>
    </xf>
    <xf numFmtId="3" fontId="6" fillId="8" borderId="1" xfId="0" applyNumberFormat="1" applyFont="1" applyFill="1" applyBorder="1" applyAlignment="1">
      <alignment horizontal="center" vertical="center" wrapText="1"/>
    </xf>
    <xf numFmtId="0" fontId="0" fillId="9" borderId="1" xfId="0" applyFill="1" applyBorder="1" applyAlignment="1">
      <alignment horizontal="center"/>
    </xf>
    <xf numFmtId="169" fontId="0" fillId="9" borderId="1" xfId="0" applyNumberFormat="1" applyFill="1" applyBorder="1" applyAlignment="1">
      <alignment horizontal="center"/>
    </xf>
    <xf numFmtId="0" fontId="0" fillId="9" borderId="1" xfId="0" applyFill="1" applyBorder="1"/>
    <xf numFmtId="0" fontId="2" fillId="9" borderId="1" xfId="0" applyFont="1" applyFill="1" applyBorder="1" applyAlignment="1">
      <alignment horizontal="center" vertical="center"/>
    </xf>
  </cellXfs>
  <cellStyles count="1">
    <cellStyle name="Normal" xfId="0" builtinId="0"/>
  </cellStyles>
  <dxfs count="176">
    <dxf>
      <fill>
        <patternFill>
          <bgColor theme="7" tint="0.79998168889431442"/>
        </patternFill>
      </fill>
    </dxf>
    <dxf>
      <fill>
        <patternFill>
          <bgColor theme="7" tint="0.79998168889431442"/>
        </patternFill>
      </fill>
    </dxf>
    <dxf>
      <fill>
        <patternFill>
          <bgColor theme="7" tint="0.59999389629810485"/>
        </patternFill>
      </fill>
    </dxf>
    <dxf>
      <fill>
        <patternFill>
          <bgColor theme="7" tint="0.59999389629810485"/>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bgColor theme="0" tint="-4.9989318521683403E-2"/>
        </patternFill>
      </fill>
    </dxf>
    <dxf>
      <fill>
        <patternFill>
          <bgColor theme="0" tint="-4.9989318521683403E-2"/>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59999389629810485"/>
        </patternFill>
      </fill>
    </dxf>
    <dxf>
      <fill>
        <patternFill>
          <bgColor theme="7" tint="0.59999389629810485"/>
        </patternFill>
      </fill>
    </dxf>
    <dxf>
      <fill>
        <patternFill patternType="solid">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ill>
        <patternFill>
          <bgColor theme="7" tint="0.79998168889431442"/>
        </patternFill>
      </fill>
    </dxf>
    <dxf>
      <fill>
        <patternFill>
          <bgColor theme="7" tint="0.79998168889431442"/>
        </patternFill>
      </fill>
    </dxf>
    <dxf>
      <fill>
        <patternFill>
          <bgColor theme="7" tint="0.59999389629810485"/>
        </patternFill>
      </fill>
    </dxf>
    <dxf>
      <fill>
        <patternFill>
          <bgColor theme="7" tint="0.59999389629810485"/>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4.9989318521683403E-2"/>
        </patternFill>
      </fill>
    </dxf>
    <dxf>
      <fill>
        <patternFill patternType="solid">
          <bgColor theme="0" tint="-4.9989318521683403E-2"/>
        </patternFill>
      </fill>
    </dxf>
    <dxf>
      <fill>
        <patternFill>
          <bgColor theme="7" tint="0.79998168889431442"/>
        </patternFill>
      </fill>
    </dxf>
    <dxf>
      <fill>
        <patternFill>
          <bgColor theme="7" tint="0.79998168889431442"/>
        </patternFill>
      </fill>
    </dxf>
    <dxf>
      <fill>
        <patternFill>
          <bgColor theme="7" tint="0.59999389629810485"/>
        </patternFill>
      </fill>
    </dxf>
    <dxf>
      <fill>
        <patternFill>
          <bgColor theme="7" tint="0.59999389629810485"/>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59999389629810485"/>
        </patternFill>
      </fill>
    </dxf>
    <dxf>
      <fill>
        <patternFill>
          <bgColor theme="7" tint="0.59999389629810485"/>
        </patternFill>
      </fill>
    </dxf>
    <dxf>
      <fill>
        <patternFill patternType="solid">
          <bgColor theme="0" tint="-4.9989318521683403E-2"/>
        </patternFill>
      </fill>
    </dxf>
    <dxf>
      <fill>
        <patternFill patternType="solid">
          <bgColor theme="0"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ill>
        <patternFill>
          <bgColor theme="7" tint="0.79998168889431442"/>
        </patternFill>
      </fill>
    </dxf>
    <dxf>
      <fill>
        <patternFill>
          <bgColor theme="7" tint="0.79998168889431442"/>
        </patternFill>
      </fill>
    </dxf>
    <dxf>
      <fill>
        <patternFill>
          <bgColor theme="7" tint="0.59999389629810485"/>
        </patternFill>
      </fill>
    </dxf>
    <dxf>
      <fill>
        <patternFill>
          <bgColor theme="7" tint="0.59999389629810485"/>
        </patternFill>
      </fill>
    </dxf>
    <dxf>
      <alignment horizontal="center"/>
    </dxf>
    <dxf>
      <alignment vertical="center"/>
    </dxf>
    <dxf>
      <alignment vertical="center"/>
    </dxf>
    <dxf>
      <alignment vertical="center"/>
    </dxf>
    <dxf>
      <alignment horizontal="center"/>
    </dxf>
    <dxf>
      <alignment horizontal="center"/>
    </dxf>
    <dxf>
      <fill>
        <patternFill>
          <bgColor theme="0" tint="-4.9989318521683403E-2"/>
        </patternFill>
      </fill>
    </dxf>
    <dxf>
      <fill>
        <patternFill>
          <bgColor theme="0" tint="-4.9989318521683403E-2"/>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59999389629810485"/>
        </patternFill>
      </fill>
    </dxf>
    <dxf>
      <fill>
        <patternFill>
          <bgColor theme="7" tint="0.59999389629810485"/>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bgColor theme="7" tint="0.59999389629810485"/>
        </patternFill>
      </fill>
    </dxf>
    <dxf>
      <fill>
        <patternFill>
          <bgColor theme="7" tint="0.59999389629810485"/>
        </patternFill>
      </fill>
    </dxf>
    <dxf>
      <fill>
        <patternFill patternType="solid">
          <bgColor theme="0" tint="-4.9989318521683403E-2"/>
        </patternFill>
      </fill>
    </dxf>
    <dxf>
      <fill>
        <patternFill patternType="solid">
          <bgColor theme="0" tint="-4.9989318521683403E-2"/>
        </patternFill>
      </fill>
    </dxf>
    <dxf>
      <alignment vertical="center"/>
    </dxf>
    <dxf>
      <alignment vertic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val="0"/>
        <i val="0"/>
        <strike val="0"/>
        <condense val="0"/>
        <extend val="0"/>
        <outline val="0"/>
        <shadow val="0"/>
        <u val="none"/>
        <vertAlign val="baseline"/>
        <sz val="11"/>
        <color theme="1"/>
        <name val="Calibri"/>
        <family val="2"/>
        <scheme val="minor"/>
      </font>
      <numFmt numFmtId="169" formatCode="&quot;₹&quot;\ #,##0.00"/>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4" formatCode="yyyy\-mm\-dd"/>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9" formatCode="&quot;₹&quot;\ #,##0.00"/>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4" formatCode="yyyy\-mm\-dd"/>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7" tint="0.79998168889431442"/>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7" tint="0.79998168889431442"/>
        </patternFill>
      </fill>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Times New Roman"/>
        <family val="1"/>
        <scheme val="none"/>
      </font>
      <fill>
        <patternFill patternType="solid">
          <fgColor indexed="64"/>
          <bgColor theme="7"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bgColor theme="4" tint="0.79998168889431442"/>
        </patternFill>
      </fill>
    </dxf>
  </dxfs>
  <tableStyles count="1" defaultTableStyle="TableStyleMedium2" defaultPivotStyle="PivotStyleLight16">
    <tableStyle name="Table Style 1" pivot="0" count="1" xr9:uid="{0C0F87E1-4FBC-4693-AF4A-BF07A86A0E6C}">
      <tableStyleElement type="wholeTable" dxfId="17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a:t>Units Sold by Product</a:t>
            </a:r>
          </a:p>
        </c:rich>
      </c:tx>
      <c:overlay val="0"/>
      <c:spPr>
        <a:noFill/>
        <a:ln w="0">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lotArea>
      <c:layout>
        <c:manualLayout>
          <c:layoutTarget val="inner"/>
          <c:xMode val="edge"/>
          <c:yMode val="edge"/>
          <c:x val="2.2421524663677129E-2"/>
          <c:y val="0.13784722222222223"/>
          <c:w val="0.95889387144992522"/>
          <c:h val="0.72931731189851268"/>
        </c:manualLayout>
      </c:layout>
      <c:barChart>
        <c:barDir val="col"/>
        <c:grouping val="clustered"/>
        <c:varyColors val="0"/>
        <c:ser>
          <c:idx val="0"/>
          <c:order val="0"/>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Pivot_Data!$M$8:$M$17</c:f>
              <c:strCache>
                <c:ptCount val="10"/>
                <c:pt idx="0">
                  <c:v>Bookshelf</c:v>
                </c:pt>
                <c:pt idx="1">
                  <c:v>Smartphone</c:v>
                </c:pt>
                <c:pt idx="2">
                  <c:v>Keyboard</c:v>
                </c:pt>
                <c:pt idx="3">
                  <c:v>Monitor</c:v>
                </c:pt>
                <c:pt idx="4">
                  <c:v>Blender</c:v>
                </c:pt>
                <c:pt idx="5">
                  <c:v>Desk</c:v>
                </c:pt>
                <c:pt idx="6">
                  <c:v>Laptop</c:v>
                </c:pt>
                <c:pt idx="7">
                  <c:v>Office Chair</c:v>
                </c:pt>
                <c:pt idx="8">
                  <c:v>Headphones</c:v>
                </c:pt>
                <c:pt idx="9">
                  <c:v>Coffee Maker</c:v>
                </c:pt>
              </c:strCache>
            </c:strRef>
          </c:cat>
          <c:val>
            <c:numRef>
              <c:f>Pivot_Data!$N$8:$N$17</c:f>
              <c:numCache>
                <c:formatCode>General</c:formatCode>
                <c:ptCount val="10"/>
                <c:pt idx="0">
                  <c:v>102</c:v>
                </c:pt>
                <c:pt idx="1">
                  <c:v>96</c:v>
                </c:pt>
                <c:pt idx="2">
                  <c:v>89</c:v>
                </c:pt>
                <c:pt idx="3">
                  <c:v>88</c:v>
                </c:pt>
                <c:pt idx="4">
                  <c:v>87</c:v>
                </c:pt>
                <c:pt idx="5">
                  <c:v>78</c:v>
                </c:pt>
                <c:pt idx="6">
                  <c:v>75</c:v>
                </c:pt>
                <c:pt idx="7">
                  <c:v>52</c:v>
                </c:pt>
                <c:pt idx="8">
                  <c:v>47</c:v>
                </c:pt>
                <c:pt idx="9">
                  <c:v>39</c:v>
                </c:pt>
              </c:numCache>
            </c:numRef>
          </c:val>
          <c:extLst>
            <c:ext xmlns:c16="http://schemas.microsoft.com/office/drawing/2014/chart" uri="{C3380CC4-5D6E-409C-BE32-E72D297353CC}">
              <c16:uniqueId val="{00000000-CC95-49D6-89DA-0F28BBD1B549}"/>
            </c:ext>
          </c:extLst>
        </c:ser>
        <c:dLbls>
          <c:dLblPos val="outEnd"/>
          <c:showLegendKey val="0"/>
          <c:showVal val="1"/>
          <c:showCatName val="0"/>
          <c:showSerName val="0"/>
          <c:showPercent val="0"/>
          <c:showBubbleSize val="0"/>
        </c:dLbls>
        <c:gapWidth val="150"/>
        <c:axId val="11784687"/>
        <c:axId val="99573124"/>
      </c:barChart>
      <c:catAx>
        <c:axId val="11784687"/>
        <c:scaling>
          <c:orientation val="minMax"/>
        </c:scaling>
        <c:delete val="0"/>
        <c:axPos val="b"/>
        <c:numFmt formatCode="General" sourceLinked="0"/>
        <c:majorTickMark val="none"/>
        <c:minorTickMark val="none"/>
        <c:tickLblPos val="nextTo"/>
        <c:spPr>
          <a:noFill/>
          <a:ln w="9360" cap="flat" cmpd="sng" algn="ctr">
            <a:solidFill>
              <a:srgbClr val="878787"/>
            </a:solidFill>
            <a:prstDash val="solid"/>
            <a:round/>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99573124"/>
        <c:crosses val="autoZero"/>
        <c:auto val="1"/>
        <c:lblAlgn val="ctr"/>
        <c:lblOffset val="100"/>
        <c:noMultiLvlLbl val="0"/>
      </c:catAx>
      <c:valAx>
        <c:axId val="99573124"/>
        <c:scaling>
          <c:orientation val="minMax"/>
        </c:scaling>
        <c:delete val="1"/>
        <c:axPos val="l"/>
        <c:numFmt formatCode="General" sourceLinked="0"/>
        <c:majorTickMark val="none"/>
        <c:minorTickMark val="none"/>
        <c:tickLblPos val="nextTo"/>
        <c:crossAx val="11784687"/>
        <c:crosses val="autoZero"/>
        <c:crossBetween val="between"/>
      </c:valAx>
      <c:spPr>
        <a:noFill/>
        <a:ln w="0">
          <a:noFill/>
        </a:ln>
        <a:effectLst/>
      </c:spPr>
    </c:plotArea>
    <c:plotVisOnly val="1"/>
    <c:dispBlanksAs val="gap"/>
    <c:showDLblsOverMax val="1"/>
  </c:chart>
  <c:spPr>
    <a:solidFill>
      <a:schemeClr val="lt1"/>
    </a:solidFill>
    <a:ln w="12700" cap="flat" cmpd="sng" algn="ctr">
      <a:solidFill>
        <a:schemeClr val="dk1"/>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a:t>Category vs Revenue</a:t>
            </a:r>
          </a:p>
        </c:rich>
      </c:tx>
      <c:overlay val="1"/>
      <c:spPr>
        <a:noFill/>
        <a:ln w="0">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lotArea>
      <c:layout>
        <c:manualLayout>
          <c:layoutTarget val="inner"/>
          <c:xMode val="edge"/>
          <c:yMode val="edge"/>
          <c:x val="0.15107464526779929"/>
          <c:y val="0.14494577649357746"/>
          <c:w val="0.54953973627567765"/>
          <c:h val="0.73061775900869619"/>
        </c:manualLayout>
      </c:layout>
      <c:pieChart>
        <c:varyColors val="1"/>
        <c:ser>
          <c:idx val="0"/>
          <c:order val="0"/>
          <c:dPt>
            <c:idx val="0"/>
            <c:bubble3D val="0"/>
            <c:explosion val="8"/>
            <c:spPr>
              <a:solidFill>
                <a:schemeClr val="accent4">
                  <a:shade val="65000"/>
                </a:schemeClr>
              </a:solidFill>
              <a:ln>
                <a:noFill/>
              </a:ln>
              <a:effectLst/>
            </c:spPr>
            <c:extLst>
              <c:ext xmlns:c16="http://schemas.microsoft.com/office/drawing/2014/chart" uri="{C3380CC4-5D6E-409C-BE32-E72D297353CC}">
                <c16:uniqueId val="{00000007-90F5-4B26-974F-7C8587B24951}"/>
              </c:ext>
            </c:extLst>
          </c:dPt>
          <c:dPt>
            <c:idx val="1"/>
            <c:bubble3D val="0"/>
            <c:explosion val="9"/>
            <c:spPr>
              <a:solidFill>
                <a:schemeClr val="accent4"/>
              </a:solidFill>
              <a:ln>
                <a:noFill/>
              </a:ln>
              <a:effectLst/>
            </c:spPr>
            <c:extLst>
              <c:ext xmlns:c16="http://schemas.microsoft.com/office/drawing/2014/chart" uri="{C3380CC4-5D6E-409C-BE32-E72D297353CC}">
                <c16:uniqueId val="{00000009-90F5-4B26-974F-7C8587B24951}"/>
              </c:ext>
            </c:extLst>
          </c:dPt>
          <c:dPt>
            <c:idx val="2"/>
            <c:bubble3D val="0"/>
            <c:explosion val="9"/>
            <c:spPr>
              <a:solidFill>
                <a:schemeClr val="accent4">
                  <a:tint val="65000"/>
                </a:schemeClr>
              </a:solidFill>
              <a:ln>
                <a:noFill/>
              </a:ln>
              <a:effectLst/>
            </c:spPr>
            <c:extLst>
              <c:ext xmlns:c16="http://schemas.microsoft.com/office/drawing/2014/chart" uri="{C3380CC4-5D6E-409C-BE32-E72D297353CC}">
                <c16:uniqueId val="{0000000B-90F5-4B26-974F-7C8587B24951}"/>
              </c:ext>
            </c:extLst>
          </c:dPt>
          <c:dLbls>
            <c:dLbl>
              <c:idx val="0"/>
              <c:tx>
                <c:rich>
                  <a:bodyPr/>
                  <a:lstStyle/>
                  <a:p>
                    <a:fld id="{7C28E4C6-A1B0-4AF5-B647-496F75626B69}" type="PERCENTAGE">
                      <a:rPr lang="en-US"/>
                      <a:pPr/>
                      <a:t>[PERCENTAGE]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90F5-4B26-974F-7C8587B24951}"/>
                </c:ext>
              </c:extLst>
            </c:dLbl>
            <c:dLbl>
              <c:idx val="1"/>
              <c:tx>
                <c:rich>
                  <a:bodyPr/>
                  <a:lstStyle/>
                  <a:p>
                    <a:fld id="{5A120708-164D-42EF-A027-98A21F110886}" type="PERCENTAGE">
                      <a:rPr lang="en-US"/>
                      <a:pPr/>
                      <a:t>[PERCENTAGE]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90F5-4B26-974F-7C8587B24951}"/>
                </c:ext>
              </c:extLst>
            </c:dLbl>
            <c:dLbl>
              <c:idx val="2"/>
              <c:tx>
                <c:rich>
                  <a:bodyPr/>
                  <a:lstStyle/>
                  <a:p>
                    <a:fld id="{9E17B204-A8DE-4003-B382-9A20A24BB94B}" type="PERCENTAGE">
                      <a:rPr lang="en-US"/>
                      <a:pPr/>
                      <a:t>[PERCENTAGE]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90F5-4B26-974F-7C8587B24951}"/>
                </c:ext>
              </c:extLst>
            </c:dLbl>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Pivot_Data!$G$24:$G$26</c:f>
              <c:strCache>
                <c:ptCount val="3"/>
                <c:pt idx="0">
                  <c:v>Appliances</c:v>
                </c:pt>
                <c:pt idx="1">
                  <c:v>Electronics</c:v>
                </c:pt>
                <c:pt idx="2">
                  <c:v>Furniture</c:v>
                </c:pt>
              </c:strCache>
            </c:strRef>
          </c:cat>
          <c:val>
            <c:numRef>
              <c:f>Pivot_Data!$H$24:$H$26</c:f>
              <c:numCache>
                <c:formatCode>"₹"\ #,##0.00</c:formatCode>
                <c:ptCount val="3"/>
                <c:pt idx="0">
                  <c:v>8338.7399999999961</c:v>
                </c:pt>
                <c:pt idx="1">
                  <c:v>171756.05000000013</c:v>
                </c:pt>
                <c:pt idx="2">
                  <c:v>49097.680000000015</c:v>
                </c:pt>
              </c:numCache>
            </c:numRef>
          </c:val>
          <c:extLst>
            <c:ext xmlns:c16="http://schemas.microsoft.com/office/drawing/2014/chart" uri="{C3380CC4-5D6E-409C-BE32-E72D297353CC}">
              <c16:uniqueId val="{0000000C-90F5-4B26-974F-7C8587B24951}"/>
            </c:ext>
          </c:extLst>
        </c:ser>
        <c:dLbls>
          <c:dLblPos val="bestFit"/>
          <c:showLegendKey val="0"/>
          <c:showVal val="1"/>
          <c:showCatName val="0"/>
          <c:showSerName val="0"/>
          <c:showPercent val="0"/>
          <c:showBubbleSize val="0"/>
          <c:showLeaderLines val="1"/>
        </c:dLbls>
        <c:firstSliceAng val="0"/>
      </c:pieChart>
      <c:spPr>
        <a:noFill/>
        <a:ln w="0">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legend>
    <c:plotVisOnly val="1"/>
    <c:dispBlanksAs val="gap"/>
    <c:showDLblsOverMax val="1"/>
  </c:chart>
  <c:spPr>
    <a:solidFill>
      <a:schemeClr val="lt1"/>
    </a:solidFill>
    <a:ln w="12700" cap="flat" cmpd="sng" algn="ctr">
      <a:solidFill>
        <a:schemeClr val="dk1"/>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a:t>Customer Segment vs Revenue</a:t>
            </a:r>
          </a:p>
        </c:rich>
      </c:tx>
      <c:overlay val="0"/>
      <c:spPr>
        <a:noFill/>
        <a:ln w="0">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lotArea>
      <c:layout/>
      <c:pieChart>
        <c:varyColors val="1"/>
        <c:ser>
          <c:idx val="0"/>
          <c:order val="0"/>
          <c:dPt>
            <c:idx val="0"/>
            <c:bubble3D val="0"/>
            <c:spPr>
              <a:solidFill>
                <a:schemeClr val="accent4">
                  <a:shade val="65000"/>
                </a:schemeClr>
              </a:solidFill>
              <a:ln>
                <a:noFill/>
              </a:ln>
              <a:effectLst/>
            </c:spPr>
            <c:extLst>
              <c:ext xmlns:c16="http://schemas.microsoft.com/office/drawing/2014/chart" uri="{C3380CC4-5D6E-409C-BE32-E72D297353CC}">
                <c16:uniqueId val="{00000000-797A-4C8A-AF9D-C78FD3795A28}"/>
              </c:ext>
            </c:extLst>
          </c:dPt>
          <c:dPt>
            <c:idx val="1"/>
            <c:bubble3D val="0"/>
            <c:spPr>
              <a:solidFill>
                <a:schemeClr val="accent4"/>
              </a:solidFill>
              <a:ln>
                <a:noFill/>
              </a:ln>
              <a:effectLst/>
            </c:spPr>
            <c:extLst>
              <c:ext xmlns:c16="http://schemas.microsoft.com/office/drawing/2014/chart" uri="{C3380CC4-5D6E-409C-BE32-E72D297353CC}">
                <c16:uniqueId val="{00000002-797A-4C8A-AF9D-C78FD3795A28}"/>
              </c:ext>
            </c:extLst>
          </c:dPt>
          <c:dPt>
            <c:idx val="2"/>
            <c:bubble3D val="0"/>
            <c:spPr>
              <a:solidFill>
                <a:schemeClr val="accent4">
                  <a:tint val="65000"/>
                </a:schemeClr>
              </a:solidFill>
              <a:ln>
                <a:noFill/>
              </a:ln>
              <a:effectLst/>
            </c:spPr>
            <c:extLst>
              <c:ext xmlns:c16="http://schemas.microsoft.com/office/drawing/2014/chart" uri="{C3380CC4-5D6E-409C-BE32-E72D297353CC}">
                <c16:uniqueId val="{00000004-797A-4C8A-AF9D-C78FD3795A28}"/>
              </c:ext>
            </c:extLst>
          </c:dPt>
          <c:dLbls>
            <c:dLbl>
              <c:idx val="0"/>
              <c:tx>
                <c:rich>
                  <a:bodyPr/>
                  <a:lstStyle/>
                  <a:p>
                    <a:fld id="{B540B87E-84C3-4982-A067-4030D7A27069}" type="PERCENTAGE">
                      <a:rPr lang="en-US"/>
                      <a:pPr/>
                      <a:t>[PERCENTAGE]</a:t>
                    </a:fld>
                    <a:endParaRPr lang="en-IN"/>
                  </a:p>
                </c:rich>
              </c:tx>
              <c:dLblPos val="bestFit"/>
              <c:showLegendKey val="0"/>
              <c:showVal val="1"/>
              <c:showCatName val="0"/>
              <c:showSerName val="0"/>
              <c:showPercent val="0"/>
              <c:showBubbleSize val="0"/>
              <c:extLst>
                <c:ext xmlns:c15="http://schemas.microsoft.com/office/drawing/2012/chart" uri="{CE6537A1-D6FC-4f65-9D91-7224C49458BB}">
                  <c15:layout>
                    <c:manualLayout>
                      <c:w val="9.7222222222222224E-2"/>
                      <c:h val="7.6116656846094297E-2"/>
                    </c:manualLayout>
                  </c15:layout>
                  <c15:dlblFieldTable/>
                  <c15:showDataLabelsRange val="0"/>
                </c:ext>
                <c:ext xmlns:c16="http://schemas.microsoft.com/office/drawing/2014/chart" uri="{C3380CC4-5D6E-409C-BE32-E72D297353CC}">
                  <c16:uniqueId val="{00000000-797A-4C8A-AF9D-C78FD3795A28}"/>
                </c:ext>
              </c:extLst>
            </c:dLbl>
            <c:dLbl>
              <c:idx val="1"/>
              <c:tx>
                <c:rich>
                  <a:bodyPr/>
                  <a:lstStyle/>
                  <a:p>
                    <a:fld id="{01296B67-0CEE-4E69-99F8-6F6C7DA8866B}" type="PERCENTAGE">
                      <a:rPr lang="en-US"/>
                      <a:pPr/>
                      <a:t>[PERCENTAGE]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97A-4C8A-AF9D-C78FD3795A28}"/>
                </c:ext>
              </c:extLst>
            </c:dLbl>
            <c:dLbl>
              <c:idx val="2"/>
              <c:tx>
                <c:rich>
                  <a:bodyPr/>
                  <a:lstStyle/>
                  <a:p>
                    <a:fld id="{1F75679E-10D2-42AE-878E-A797BD2C676E}" type="PERCENTAGE">
                      <a:rPr lang="en-US"/>
                      <a:pPr/>
                      <a:t>[PERCENTAGE]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797A-4C8A-AF9D-C78FD3795A28}"/>
                </c:ext>
              </c:extLst>
            </c:dLbl>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Pivot_Data!$J$22:$J$24</c:f>
              <c:strCache>
                <c:ptCount val="3"/>
                <c:pt idx="0">
                  <c:v>Basic</c:v>
                </c:pt>
                <c:pt idx="1">
                  <c:v>Premium</c:v>
                </c:pt>
                <c:pt idx="2">
                  <c:v>Standard</c:v>
                </c:pt>
              </c:strCache>
            </c:strRef>
          </c:cat>
          <c:val>
            <c:numRef>
              <c:f>Pivot_Data!$K$22:$K$24</c:f>
              <c:numCache>
                <c:formatCode>"₹"\ #,##0.00</c:formatCode>
                <c:ptCount val="3"/>
                <c:pt idx="0">
                  <c:v>840.2406756756759</c:v>
                </c:pt>
                <c:pt idx="1">
                  <c:v>891.12757894736853</c:v>
                </c:pt>
                <c:pt idx="2">
                  <c:v>1016.7597530864202</c:v>
                </c:pt>
              </c:numCache>
            </c:numRef>
          </c:val>
          <c:extLst>
            <c:ext xmlns:c16="http://schemas.microsoft.com/office/drawing/2014/chart" uri="{C3380CC4-5D6E-409C-BE32-E72D297353CC}">
              <c16:uniqueId val="{00000005-797A-4C8A-AF9D-C78FD3795A28}"/>
            </c:ext>
          </c:extLst>
        </c:ser>
        <c:dLbls>
          <c:showLegendKey val="0"/>
          <c:showVal val="0"/>
          <c:showCatName val="0"/>
          <c:showSerName val="0"/>
          <c:showPercent val="0"/>
          <c:showBubbleSize val="0"/>
          <c:showLeaderLines val="1"/>
        </c:dLbls>
        <c:firstSliceAng val="0"/>
      </c:pieChart>
      <c:spPr>
        <a:noFill/>
        <a:ln w="0">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legend>
    <c:plotVisOnly val="1"/>
    <c:dispBlanksAs val="gap"/>
    <c:showDLblsOverMax val="1"/>
  </c:chart>
  <c:spPr>
    <a:solidFill>
      <a:schemeClr val="lt1"/>
    </a:solidFill>
    <a:ln w="12700" cap="flat" cmpd="sng" algn="ctr">
      <a:solidFill>
        <a:schemeClr val="dk1"/>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a:t>Revenue by Region</a:t>
            </a:r>
          </a:p>
        </c:rich>
      </c:tx>
      <c:overlay val="0"/>
      <c:spPr>
        <a:noFill/>
        <a:ln w="0">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lotArea>
      <c:layout>
        <c:manualLayout>
          <c:layoutTarget val="inner"/>
          <c:xMode val="edge"/>
          <c:yMode val="edge"/>
          <c:x val="2.3212627669452181E-2"/>
          <c:y val="0.14389233954451347"/>
          <c:w val="0.94893221912720516"/>
          <c:h val="0.77311368687609705"/>
        </c:manualLayout>
      </c:layout>
      <c:barChart>
        <c:barDir val="col"/>
        <c:grouping val="clustered"/>
        <c:varyColors val="0"/>
        <c:ser>
          <c:idx val="0"/>
          <c:order val="0"/>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Pivot_Data!$D$8:$D$12</c:f>
              <c:strCache>
                <c:ptCount val="5"/>
                <c:pt idx="0">
                  <c:v>Central</c:v>
                </c:pt>
                <c:pt idx="1">
                  <c:v>East</c:v>
                </c:pt>
                <c:pt idx="2">
                  <c:v>North</c:v>
                </c:pt>
                <c:pt idx="3">
                  <c:v>South</c:v>
                </c:pt>
                <c:pt idx="4">
                  <c:v>West</c:v>
                </c:pt>
              </c:strCache>
            </c:strRef>
          </c:cat>
          <c:val>
            <c:numRef>
              <c:f>Pivot_Data!$E$8:$E$12</c:f>
              <c:numCache>
                <c:formatCode>"₹"\ #,##0.00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1FD6-4A03-BB1C-A89DFC519FDE}"/>
            </c:ext>
          </c:extLst>
        </c:ser>
        <c:dLbls>
          <c:dLblPos val="outEnd"/>
          <c:showLegendKey val="0"/>
          <c:showVal val="1"/>
          <c:showCatName val="0"/>
          <c:showSerName val="0"/>
          <c:showPercent val="0"/>
          <c:showBubbleSize val="0"/>
        </c:dLbls>
        <c:gapWidth val="150"/>
        <c:axId val="11393412"/>
        <c:axId val="47381833"/>
      </c:barChart>
      <c:catAx>
        <c:axId val="11393412"/>
        <c:scaling>
          <c:orientation val="minMax"/>
        </c:scaling>
        <c:delete val="0"/>
        <c:axPos val="b"/>
        <c:numFmt formatCode="General" sourceLinked="0"/>
        <c:majorTickMark val="out"/>
        <c:minorTickMark val="none"/>
        <c:tickLblPos val="nextTo"/>
        <c:spPr>
          <a:noFill/>
          <a:ln w="9360" cap="flat" cmpd="sng" algn="ctr">
            <a:solidFill>
              <a:srgbClr val="878787"/>
            </a:solidFill>
            <a:prstDash val="solid"/>
            <a:round/>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47381833"/>
        <c:crosses val="autoZero"/>
        <c:auto val="1"/>
        <c:lblAlgn val="ctr"/>
        <c:lblOffset val="100"/>
        <c:noMultiLvlLbl val="0"/>
      </c:catAx>
      <c:valAx>
        <c:axId val="47381833"/>
        <c:scaling>
          <c:orientation val="minMax"/>
        </c:scaling>
        <c:delete val="1"/>
        <c:axPos val="l"/>
        <c:numFmt formatCode="\$#,##0" sourceLinked="0"/>
        <c:majorTickMark val="out"/>
        <c:minorTickMark val="none"/>
        <c:tickLblPos val="nextTo"/>
        <c:crossAx val="11393412"/>
        <c:crosses val="autoZero"/>
        <c:crossBetween val="between"/>
      </c:valAx>
      <c:spPr>
        <a:noFill/>
        <a:ln w="0">
          <a:noFill/>
        </a:ln>
        <a:effectLst/>
      </c:spPr>
    </c:plotArea>
    <c:plotVisOnly val="1"/>
    <c:dispBlanksAs val="gap"/>
    <c:showDLblsOverMax val="1"/>
  </c:chart>
  <c:spPr>
    <a:solidFill>
      <a:schemeClr val="lt1"/>
    </a:solidFill>
    <a:ln w="12700" cap="flat" cmpd="sng" algn="ctr">
      <a:solidFill>
        <a:schemeClr val="dk1"/>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a:t>Revenue by Product</a:t>
            </a:r>
          </a:p>
        </c:rich>
      </c:tx>
      <c:overlay val="0"/>
      <c:spPr>
        <a:noFill/>
        <a:ln w="0">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Pivot_Data!$D$17:$D$26</c:f>
              <c:strCache>
                <c:ptCount val="10"/>
                <c:pt idx="0">
                  <c:v>Laptop</c:v>
                </c:pt>
                <c:pt idx="1">
                  <c:v>Smartphone</c:v>
                </c:pt>
                <c:pt idx="2">
                  <c:v>Desk</c:v>
                </c:pt>
                <c:pt idx="3">
                  <c:v>Monitor</c:v>
                </c:pt>
                <c:pt idx="4">
                  <c:v>Bookshelf</c:v>
                </c:pt>
                <c:pt idx="5">
                  <c:v>Office Chair</c:v>
                </c:pt>
                <c:pt idx="6">
                  <c:v>Keyboard</c:v>
                </c:pt>
                <c:pt idx="7">
                  <c:v>Headphones</c:v>
                </c:pt>
                <c:pt idx="8">
                  <c:v>Blender</c:v>
                </c:pt>
                <c:pt idx="9">
                  <c:v>Coffee Maker</c:v>
                </c:pt>
              </c:strCache>
            </c:strRef>
          </c:cat>
          <c:val>
            <c:numRef>
              <c:f>Pivot_Data!$E$17:$E$26</c:f>
              <c:numCache>
                <c:formatCode>"₹"\ #,##0.00</c:formatCode>
                <c:ptCount val="10"/>
                <c:pt idx="0">
                  <c:v>67499.25</c:v>
                </c:pt>
                <c:pt idx="1">
                  <c:v>67199.039999999994</c:v>
                </c:pt>
                <c:pt idx="2">
                  <c:v>23399.22</c:v>
                </c:pt>
                <c:pt idx="3">
                  <c:v>21999.119999999999</c:v>
                </c:pt>
                <c:pt idx="4">
                  <c:v>15298.979999999994</c:v>
                </c:pt>
                <c:pt idx="5">
                  <c:v>10399.479999999998</c:v>
                </c:pt>
                <c:pt idx="6">
                  <c:v>8009.1099999999969</c:v>
                </c:pt>
                <c:pt idx="7">
                  <c:v>7049.5299999999988</c:v>
                </c:pt>
                <c:pt idx="8">
                  <c:v>5219.1299999999974</c:v>
                </c:pt>
                <c:pt idx="9">
                  <c:v>3119.6099999999992</c:v>
                </c:pt>
              </c:numCache>
            </c:numRef>
          </c:val>
          <c:extLst>
            <c:ext xmlns:c16="http://schemas.microsoft.com/office/drawing/2014/chart" uri="{C3380CC4-5D6E-409C-BE32-E72D297353CC}">
              <c16:uniqueId val="{00000000-907E-4891-97AB-3AFE9322AAFA}"/>
            </c:ext>
          </c:extLst>
        </c:ser>
        <c:dLbls>
          <c:dLblPos val="outEnd"/>
          <c:showLegendKey val="0"/>
          <c:showVal val="1"/>
          <c:showCatName val="0"/>
          <c:showSerName val="0"/>
          <c:showPercent val="0"/>
          <c:showBubbleSize val="0"/>
        </c:dLbls>
        <c:gapWidth val="150"/>
        <c:axId val="65471803"/>
        <c:axId val="76355862"/>
      </c:barChart>
      <c:catAx>
        <c:axId val="65471803"/>
        <c:scaling>
          <c:orientation val="minMax"/>
        </c:scaling>
        <c:delete val="0"/>
        <c:axPos val="l"/>
        <c:numFmt formatCode="\$#,##0" sourceLinked="0"/>
        <c:majorTickMark val="out"/>
        <c:minorTickMark val="none"/>
        <c:tickLblPos val="nextTo"/>
        <c:spPr>
          <a:noFill/>
          <a:ln w="9360" cap="flat" cmpd="sng" algn="ctr">
            <a:solidFill>
              <a:srgbClr val="878787"/>
            </a:solidFill>
            <a:prstDash val="solid"/>
            <a:round/>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76355862"/>
        <c:crosses val="autoZero"/>
        <c:auto val="1"/>
        <c:lblAlgn val="ctr"/>
        <c:lblOffset val="100"/>
        <c:noMultiLvlLbl val="0"/>
      </c:catAx>
      <c:valAx>
        <c:axId val="76355862"/>
        <c:scaling>
          <c:orientation val="minMax"/>
        </c:scaling>
        <c:delete val="1"/>
        <c:axPos val="b"/>
        <c:numFmt formatCode="\$#,##0.00" sourceLinked="0"/>
        <c:majorTickMark val="none"/>
        <c:minorTickMark val="none"/>
        <c:tickLblPos val="nextTo"/>
        <c:crossAx val="65471803"/>
        <c:crosses val="autoZero"/>
        <c:crossBetween val="between"/>
      </c:valAx>
      <c:spPr>
        <a:noFill/>
        <a:ln w="0">
          <a:noFill/>
        </a:ln>
        <a:effectLst/>
      </c:spPr>
    </c:plotArea>
    <c:plotVisOnly val="1"/>
    <c:dispBlanksAs val="gap"/>
    <c:showDLblsOverMax val="1"/>
  </c:chart>
  <c:spPr>
    <a:solidFill>
      <a:schemeClr val="lt1"/>
    </a:solidFill>
    <a:ln w="12700" cap="flat" cmpd="sng" algn="ctr">
      <a:solidFill>
        <a:schemeClr val="dk1"/>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a:t>Top 10 Customers by Revenue</a:t>
            </a:r>
          </a:p>
        </c:rich>
      </c:tx>
      <c:overlay val="0"/>
      <c:spPr>
        <a:noFill/>
        <a:ln w="0">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lotArea>
      <c:layout>
        <c:manualLayout>
          <c:layoutTarget val="inner"/>
          <c:xMode val="edge"/>
          <c:yMode val="edge"/>
          <c:x val="0.14453415545279061"/>
          <c:y val="0.10415169017459493"/>
          <c:w val="0.8360654918135233"/>
          <c:h val="0.86436669062905402"/>
        </c:manualLayout>
      </c:layout>
      <c:barChart>
        <c:barDir val="bar"/>
        <c:grouping val="clustered"/>
        <c:varyColors val="0"/>
        <c:ser>
          <c:idx val="0"/>
          <c:order val="0"/>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Pivot_Data!$J$8:$J$17</c:f>
              <c:strCache>
                <c:ptCount val="10"/>
                <c:pt idx="0">
                  <c:v>Mark Carter</c:v>
                </c:pt>
                <c:pt idx="1">
                  <c:v>Edward Mitchell</c:v>
                </c:pt>
                <c:pt idx="2">
                  <c:v>Barbara Young</c:v>
                </c:pt>
                <c:pt idx="3">
                  <c:v>Patricia Moore</c:v>
                </c:pt>
                <c:pt idx="4">
                  <c:v>Paul Baker</c:v>
                </c:pt>
                <c:pt idx="5">
                  <c:v>Dorothy Nelson</c:v>
                </c:pt>
                <c:pt idx="6">
                  <c:v>Karen Hill</c:v>
                </c:pt>
                <c:pt idx="7">
                  <c:v>Daniel King</c:v>
                </c:pt>
                <c:pt idx="8">
                  <c:v>Lawrence Reed</c:v>
                </c:pt>
                <c:pt idx="9">
                  <c:v>Joseph Jackson</c:v>
                </c:pt>
              </c:strCache>
            </c:strRef>
          </c:cat>
          <c:val>
            <c:numRef>
              <c:f>Pivot_Data!$K$8:$K$17</c:f>
              <c:numCache>
                <c:formatCode>"₹"\ #,##0.00</c:formatCode>
                <c:ptCount val="10"/>
                <c:pt idx="0">
                  <c:v>15659.65</c:v>
                </c:pt>
                <c:pt idx="1">
                  <c:v>11919.769999999999</c:v>
                </c:pt>
                <c:pt idx="2">
                  <c:v>10649.8</c:v>
                </c:pt>
                <c:pt idx="3">
                  <c:v>9799.73</c:v>
                </c:pt>
                <c:pt idx="4">
                  <c:v>8309.739999999998</c:v>
                </c:pt>
                <c:pt idx="5">
                  <c:v>8269.7900000000009</c:v>
                </c:pt>
                <c:pt idx="6">
                  <c:v>8009.7699999999995</c:v>
                </c:pt>
                <c:pt idx="7">
                  <c:v>7309.7999999999993</c:v>
                </c:pt>
                <c:pt idx="8">
                  <c:v>6989.7699999999986</c:v>
                </c:pt>
                <c:pt idx="9">
                  <c:v>6949.84</c:v>
                </c:pt>
              </c:numCache>
            </c:numRef>
          </c:val>
          <c:extLst>
            <c:ext xmlns:c16="http://schemas.microsoft.com/office/drawing/2014/chart" uri="{C3380CC4-5D6E-409C-BE32-E72D297353CC}">
              <c16:uniqueId val="{00000000-0A29-4928-B429-86A39B5442E2}"/>
            </c:ext>
          </c:extLst>
        </c:ser>
        <c:dLbls>
          <c:dLblPos val="outEnd"/>
          <c:showLegendKey val="0"/>
          <c:showVal val="1"/>
          <c:showCatName val="0"/>
          <c:showSerName val="0"/>
          <c:showPercent val="0"/>
          <c:showBubbleSize val="0"/>
        </c:dLbls>
        <c:gapWidth val="150"/>
        <c:axId val="27779513"/>
        <c:axId val="39020538"/>
      </c:barChart>
      <c:catAx>
        <c:axId val="27779513"/>
        <c:scaling>
          <c:orientation val="minMax"/>
        </c:scaling>
        <c:delete val="0"/>
        <c:axPos val="l"/>
        <c:numFmt formatCode="\$#,##0" sourceLinked="0"/>
        <c:majorTickMark val="none"/>
        <c:minorTickMark val="none"/>
        <c:tickLblPos val="nextTo"/>
        <c:spPr>
          <a:noFill/>
          <a:ln w="9360" cap="flat" cmpd="sng" algn="ctr">
            <a:solidFill>
              <a:srgbClr val="878787"/>
            </a:solidFill>
            <a:prstDash val="solid"/>
            <a:round/>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39020538"/>
        <c:crosses val="autoZero"/>
        <c:auto val="1"/>
        <c:lblAlgn val="ctr"/>
        <c:lblOffset val="100"/>
        <c:noMultiLvlLbl val="0"/>
      </c:catAx>
      <c:valAx>
        <c:axId val="39020538"/>
        <c:scaling>
          <c:orientation val="minMax"/>
        </c:scaling>
        <c:delete val="1"/>
        <c:axPos val="b"/>
        <c:numFmt formatCode="\$#,##0.00" sourceLinked="0"/>
        <c:majorTickMark val="none"/>
        <c:minorTickMark val="none"/>
        <c:tickLblPos val="nextTo"/>
        <c:crossAx val="27779513"/>
        <c:crosses val="autoZero"/>
        <c:crossBetween val="between"/>
      </c:valAx>
      <c:spPr>
        <a:noFill/>
        <a:ln w="0">
          <a:noFill/>
        </a:ln>
        <a:effectLst/>
      </c:spPr>
    </c:plotArea>
    <c:plotVisOnly val="1"/>
    <c:dispBlanksAs val="gap"/>
    <c:showDLblsOverMax val="1"/>
  </c:chart>
  <c:spPr>
    <a:solidFill>
      <a:schemeClr val="lt1"/>
    </a:solidFill>
    <a:ln w="12700" cap="flat" cmpd="sng" algn="ctr">
      <a:solidFill>
        <a:schemeClr val="dk1"/>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[Customer Transaction analysis.xlsx]Pivot_Data!Category_vs_Units</c:name>
    <c:fmtId val="2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Units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98442674631541E-2"/>
          <c:y val="0.12257492224149981"/>
          <c:w val="0.92486338797814205"/>
          <c:h val="0.80672647400556408"/>
        </c:manualLayout>
      </c:layout>
      <c:barChart>
        <c:barDir val="col"/>
        <c:grouping val="clustered"/>
        <c:varyColors val="0"/>
        <c:ser>
          <c:idx val="0"/>
          <c:order val="0"/>
          <c:tx>
            <c:strRef>
              <c:f>Pivot_Data!$N$21</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Pivot_Data!$M$22:$M$24</c:f>
              <c:strCache>
                <c:ptCount val="3"/>
                <c:pt idx="0">
                  <c:v>Appliances</c:v>
                </c:pt>
                <c:pt idx="1">
                  <c:v>Electronics</c:v>
                </c:pt>
                <c:pt idx="2">
                  <c:v>Furniture</c:v>
                </c:pt>
              </c:strCache>
            </c:strRef>
          </c:cat>
          <c:val>
            <c:numRef>
              <c:f>Pivot_Data!$N$22:$N$24</c:f>
              <c:numCache>
                <c:formatCode>General</c:formatCode>
                <c:ptCount val="3"/>
                <c:pt idx="0">
                  <c:v>126</c:v>
                </c:pt>
                <c:pt idx="1">
                  <c:v>395</c:v>
                </c:pt>
                <c:pt idx="2">
                  <c:v>232</c:v>
                </c:pt>
              </c:numCache>
            </c:numRef>
          </c:val>
          <c:extLst>
            <c:ext xmlns:c16="http://schemas.microsoft.com/office/drawing/2014/chart" uri="{C3380CC4-5D6E-409C-BE32-E72D297353CC}">
              <c16:uniqueId val="{00000000-6A7E-47EE-92A2-5498D0C0BFDA}"/>
            </c:ext>
          </c:extLst>
        </c:ser>
        <c:dLbls>
          <c:dLblPos val="outEnd"/>
          <c:showLegendKey val="0"/>
          <c:showVal val="1"/>
          <c:showCatName val="0"/>
          <c:showSerName val="0"/>
          <c:showPercent val="0"/>
          <c:showBubbleSize val="0"/>
        </c:dLbls>
        <c:gapWidth val="219"/>
        <c:overlap val="-27"/>
        <c:axId val="116270960"/>
        <c:axId val="116258960"/>
      </c:barChart>
      <c:catAx>
        <c:axId val="11627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6258960"/>
        <c:crosses val="autoZero"/>
        <c:auto val="1"/>
        <c:lblAlgn val="ctr"/>
        <c:lblOffset val="100"/>
        <c:noMultiLvlLbl val="0"/>
      </c:catAx>
      <c:valAx>
        <c:axId val="116258960"/>
        <c:scaling>
          <c:orientation val="minMax"/>
        </c:scaling>
        <c:delete val="1"/>
        <c:axPos val="l"/>
        <c:numFmt formatCode="General" sourceLinked="1"/>
        <c:majorTickMark val="none"/>
        <c:minorTickMark val="none"/>
        <c:tickLblPos val="nextTo"/>
        <c:crossAx val="11627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[Customer Transaction analysis.xlsx]Pivot_Data!Month_vs_Revenue</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Pivot_Data!$H$7</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Pivot_Data!$G$8:$G$19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Pivot_Data!$H$8:$H$19</c:f>
              <c:numCache>
                <c:formatCode>"₹"\ #,##0.00</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C6F6-483E-A139-62A4393FD4D7}"/>
            </c:ext>
          </c:extLst>
        </c:ser>
        <c:dLbls>
          <c:showLegendKey val="0"/>
          <c:showVal val="0"/>
          <c:showCatName val="0"/>
          <c:showSerName val="0"/>
          <c:showPercent val="0"/>
          <c:showBubbleSize val="0"/>
        </c:dLbls>
        <c:marker val="1"/>
        <c:smooth val="0"/>
        <c:axId val="718430399"/>
        <c:axId val="718440479"/>
      </c:lineChart>
      <c:catAx>
        <c:axId val="71843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18440479"/>
        <c:crosses val="autoZero"/>
        <c:auto val="1"/>
        <c:lblAlgn val="ctr"/>
        <c:lblOffset val="100"/>
        <c:noMultiLvlLbl val="0"/>
      </c:catAx>
      <c:valAx>
        <c:axId val="71844047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1843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4.svg"/><Relationship Id="rId18" Type="http://schemas.openxmlformats.org/officeDocument/2006/relationships/image" Target="../media/image7.png"/><Relationship Id="rId3" Type="http://schemas.openxmlformats.org/officeDocument/2006/relationships/chart" Target="../charts/chart3.xml"/><Relationship Id="rId21" Type="http://schemas.openxmlformats.org/officeDocument/2006/relationships/image" Target="../media/image9.png"/><Relationship Id="rId7" Type="http://schemas.openxmlformats.org/officeDocument/2006/relationships/chart" Target="../charts/chart7.xml"/><Relationship Id="rId12" Type="http://schemas.openxmlformats.org/officeDocument/2006/relationships/image" Target="../media/image3.png"/><Relationship Id="rId17" Type="http://schemas.openxmlformats.org/officeDocument/2006/relationships/hyperlink" Target="#Analysis!A1"/><Relationship Id="rId25"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6.svg"/><Relationship Id="rId20" Type="http://schemas.openxmlformats.org/officeDocument/2006/relationships/hyperlink" Target="mailto:renseegajipara@gmail.com" TargetMode="Externa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svg"/><Relationship Id="rId24" Type="http://schemas.openxmlformats.org/officeDocument/2006/relationships/image" Target="../media/image11.png"/><Relationship Id="rId5" Type="http://schemas.openxmlformats.org/officeDocument/2006/relationships/chart" Target="../charts/chart5.xml"/><Relationship Id="rId15" Type="http://schemas.openxmlformats.org/officeDocument/2006/relationships/image" Target="../media/image5.png"/><Relationship Id="rId23" Type="http://schemas.openxmlformats.org/officeDocument/2006/relationships/hyperlink" Target="#Summary!A1"/><Relationship Id="rId10" Type="http://schemas.openxmlformats.org/officeDocument/2006/relationships/image" Target="../media/image1.png"/><Relationship Id="rId19" Type="http://schemas.openxmlformats.org/officeDocument/2006/relationships/image" Target="../media/image8.svg"/><Relationship Id="rId4" Type="http://schemas.openxmlformats.org/officeDocument/2006/relationships/chart" Target="../charts/chart4.xml"/><Relationship Id="rId9" Type="http://schemas.openxmlformats.org/officeDocument/2006/relationships/hyperlink" Target="#Dashboard!A1"/><Relationship Id="rId14" Type="http://schemas.openxmlformats.org/officeDocument/2006/relationships/hyperlink" Target="#Pivot_Data!A1"/><Relationship Id="rId22" Type="http://schemas.openxmlformats.org/officeDocument/2006/relationships/image" Target="../media/image10.svg"/></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9.png"/><Relationship Id="rId3" Type="http://schemas.openxmlformats.org/officeDocument/2006/relationships/image" Target="../media/image2.svg"/><Relationship Id="rId7" Type="http://schemas.openxmlformats.org/officeDocument/2006/relationships/image" Target="../media/image5.png"/><Relationship Id="rId12" Type="http://schemas.openxmlformats.org/officeDocument/2006/relationships/hyperlink" Target="mailto:renseegajipara@gmail.com" TargetMode="External"/><Relationship Id="rId17" Type="http://schemas.openxmlformats.org/officeDocument/2006/relationships/image" Target="../media/image12.svg"/><Relationship Id="rId2" Type="http://schemas.openxmlformats.org/officeDocument/2006/relationships/image" Target="../media/image1.png"/><Relationship Id="rId16" Type="http://schemas.openxmlformats.org/officeDocument/2006/relationships/image" Target="../media/image11.png"/><Relationship Id="rId1" Type="http://schemas.openxmlformats.org/officeDocument/2006/relationships/hyperlink" Target="#Dashboard!A1"/><Relationship Id="rId6" Type="http://schemas.openxmlformats.org/officeDocument/2006/relationships/hyperlink" Target="#Pivot_Data!A1"/><Relationship Id="rId11" Type="http://schemas.openxmlformats.org/officeDocument/2006/relationships/image" Target="../media/image8.svg"/><Relationship Id="rId5" Type="http://schemas.openxmlformats.org/officeDocument/2006/relationships/image" Target="../media/image4.svg"/><Relationship Id="rId15" Type="http://schemas.openxmlformats.org/officeDocument/2006/relationships/hyperlink" Target="#Summary!A1"/><Relationship Id="rId10" Type="http://schemas.openxmlformats.org/officeDocument/2006/relationships/image" Target="../media/image7.png"/><Relationship Id="rId4" Type="http://schemas.openxmlformats.org/officeDocument/2006/relationships/image" Target="../media/image3.png"/><Relationship Id="rId9" Type="http://schemas.openxmlformats.org/officeDocument/2006/relationships/hyperlink" Target="#Analysis!A1"/><Relationship Id="rId14" Type="http://schemas.openxmlformats.org/officeDocument/2006/relationships/image" Target="../media/image10.svg"/></Relationships>
</file>

<file path=xl/drawings/_rels/drawing3.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9.png"/><Relationship Id="rId3" Type="http://schemas.openxmlformats.org/officeDocument/2006/relationships/image" Target="../media/image2.svg"/><Relationship Id="rId7" Type="http://schemas.openxmlformats.org/officeDocument/2006/relationships/image" Target="../media/image5.png"/><Relationship Id="rId12" Type="http://schemas.openxmlformats.org/officeDocument/2006/relationships/hyperlink" Target="mailto:renseegajipara@gmail.com" TargetMode="External"/><Relationship Id="rId17" Type="http://schemas.openxmlformats.org/officeDocument/2006/relationships/image" Target="../media/image12.svg"/><Relationship Id="rId2" Type="http://schemas.openxmlformats.org/officeDocument/2006/relationships/image" Target="../media/image1.png"/><Relationship Id="rId16" Type="http://schemas.openxmlformats.org/officeDocument/2006/relationships/image" Target="../media/image11.png"/><Relationship Id="rId1" Type="http://schemas.openxmlformats.org/officeDocument/2006/relationships/hyperlink" Target="#Dashboard!A1"/><Relationship Id="rId6" Type="http://schemas.openxmlformats.org/officeDocument/2006/relationships/hyperlink" Target="#Pivot_Data!A1"/><Relationship Id="rId11" Type="http://schemas.openxmlformats.org/officeDocument/2006/relationships/image" Target="../media/image8.svg"/><Relationship Id="rId5" Type="http://schemas.openxmlformats.org/officeDocument/2006/relationships/image" Target="../media/image4.svg"/><Relationship Id="rId15" Type="http://schemas.openxmlformats.org/officeDocument/2006/relationships/hyperlink" Target="#Summary!A1"/><Relationship Id="rId10" Type="http://schemas.openxmlformats.org/officeDocument/2006/relationships/image" Target="../media/image7.png"/><Relationship Id="rId4" Type="http://schemas.openxmlformats.org/officeDocument/2006/relationships/image" Target="../media/image3.png"/><Relationship Id="rId9" Type="http://schemas.openxmlformats.org/officeDocument/2006/relationships/hyperlink" Target="#Analysis!A1"/><Relationship Id="rId14" Type="http://schemas.openxmlformats.org/officeDocument/2006/relationships/image" Target="../media/image10.svg"/></Relationships>
</file>

<file path=xl/drawings/_rels/drawing4.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9.png"/><Relationship Id="rId3" Type="http://schemas.openxmlformats.org/officeDocument/2006/relationships/image" Target="../media/image2.svg"/><Relationship Id="rId7" Type="http://schemas.openxmlformats.org/officeDocument/2006/relationships/image" Target="../media/image5.png"/><Relationship Id="rId12" Type="http://schemas.openxmlformats.org/officeDocument/2006/relationships/hyperlink" Target="mailto:renseegajipara@gmail.com" TargetMode="External"/><Relationship Id="rId17" Type="http://schemas.openxmlformats.org/officeDocument/2006/relationships/image" Target="../media/image12.svg"/><Relationship Id="rId2" Type="http://schemas.openxmlformats.org/officeDocument/2006/relationships/image" Target="../media/image1.png"/><Relationship Id="rId16" Type="http://schemas.openxmlformats.org/officeDocument/2006/relationships/image" Target="../media/image11.png"/><Relationship Id="rId1" Type="http://schemas.openxmlformats.org/officeDocument/2006/relationships/hyperlink" Target="#Dashboard!A1"/><Relationship Id="rId6" Type="http://schemas.openxmlformats.org/officeDocument/2006/relationships/hyperlink" Target="#Pivot_Data!A1"/><Relationship Id="rId11" Type="http://schemas.openxmlformats.org/officeDocument/2006/relationships/image" Target="../media/image8.svg"/><Relationship Id="rId5" Type="http://schemas.openxmlformats.org/officeDocument/2006/relationships/image" Target="../media/image4.svg"/><Relationship Id="rId15" Type="http://schemas.openxmlformats.org/officeDocument/2006/relationships/hyperlink" Target="#Summary!A1"/><Relationship Id="rId10" Type="http://schemas.openxmlformats.org/officeDocument/2006/relationships/image" Target="../media/image7.png"/><Relationship Id="rId4" Type="http://schemas.openxmlformats.org/officeDocument/2006/relationships/image" Target="../media/image3.png"/><Relationship Id="rId9" Type="http://schemas.openxmlformats.org/officeDocument/2006/relationships/hyperlink" Target="#Analysis!A1"/><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editAs="oneCell">
    <xdr:from>
      <xdr:col>2</xdr:col>
      <xdr:colOff>602643</xdr:colOff>
      <xdr:row>33</xdr:row>
      <xdr:rowOff>167491</xdr:rowOff>
    </xdr:from>
    <xdr:to>
      <xdr:col>16</xdr:col>
      <xdr:colOff>52236</xdr:colOff>
      <xdr:row>56</xdr:row>
      <xdr:rowOff>99758</xdr:rowOff>
    </xdr:to>
    <xdr:graphicFrame macro="">
      <xdr:nvGraphicFramePr>
        <xdr:cNvPr id="12" name="Chart 11">
          <a:extLst>
            <a:ext uri="{FF2B5EF4-FFF2-40B4-BE49-F238E27FC236}">
              <a16:creationId xmlns:a16="http://schemas.microsoft.com/office/drawing/2014/main" id="{79C8EA17-94CA-4C49-BFFD-B506B691F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347981</xdr:colOff>
      <xdr:row>33</xdr:row>
      <xdr:rowOff>167494</xdr:rowOff>
    </xdr:from>
    <xdr:to>
      <xdr:col>23</xdr:col>
      <xdr:colOff>38101</xdr:colOff>
      <xdr:row>56</xdr:row>
      <xdr:rowOff>99392</xdr:rowOff>
    </xdr:to>
    <xdr:graphicFrame macro="">
      <xdr:nvGraphicFramePr>
        <xdr:cNvPr id="13" name="Chart 12">
          <a:extLst>
            <a:ext uri="{FF2B5EF4-FFF2-40B4-BE49-F238E27FC236}">
              <a16:creationId xmlns:a16="http://schemas.microsoft.com/office/drawing/2014/main" id="{D1162DAC-CE84-402A-B6DA-185B9E266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0</xdr:colOff>
      <xdr:row>9</xdr:row>
      <xdr:rowOff>3809</xdr:rowOff>
    </xdr:from>
    <xdr:to>
      <xdr:col>9</xdr:col>
      <xdr:colOff>525780</xdr:colOff>
      <xdr:row>32</xdr:row>
      <xdr:rowOff>84667</xdr:rowOff>
    </xdr:to>
    <xdr:graphicFrame macro="">
      <xdr:nvGraphicFramePr>
        <xdr:cNvPr id="14" name="Chart 13">
          <a:extLst>
            <a:ext uri="{FF2B5EF4-FFF2-40B4-BE49-F238E27FC236}">
              <a16:creationId xmlns:a16="http://schemas.microsoft.com/office/drawing/2014/main" id="{C73D285D-95CD-4D32-B42C-B18C8E4FF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355943</xdr:colOff>
      <xdr:row>34</xdr:row>
      <xdr:rowOff>12593</xdr:rowOff>
    </xdr:from>
    <xdr:to>
      <xdr:col>32</xdr:col>
      <xdr:colOff>20121</xdr:colOff>
      <xdr:row>56</xdr:row>
      <xdr:rowOff>79375</xdr:rowOff>
    </xdr:to>
    <xdr:graphicFrame macro="">
      <xdr:nvGraphicFramePr>
        <xdr:cNvPr id="15" name="Chart 14">
          <a:extLst>
            <a:ext uri="{FF2B5EF4-FFF2-40B4-BE49-F238E27FC236}">
              <a16:creationId xmlns:a16="http://schemas.microsoft.com/office/drawing/2014/main" id="{F2E62537-BF6C-435A-8909-ED1BC886A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32</xdr:col>
      <xdr:colOff>359185</xdr:colOff>
      <xdr:row>34</xdr:row>
      <xdr:rowOff>2551</xdr:rowOff>
    </xdr:from>
    <xdr:to>
      <xdr:col>42</xdr:col>
      <xdr:colOff>281609</xdr:colOff>
      <xdr:row>56</xdr:row>
      <xdr:rowOff>95250</xdr:rowOff>
    </xdr:to>
    <xdr:graphicFrame macro="">
      <xdr:nvGraphicFramePr>
        <xdr:cNvPr id="16" name="Chart 15">
          <a:extLst>
            <a:ext uri="{FF2B5EF4-FFF2-40B4-BE49-F238E27FC236}">
              <a16:creationId xmlns:a16="http://schemas.microsoft.com/office/drawing/2014/main" id="{444877FE-D9DD-4EEE-BCC6-779FB1DDA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353752</xdr:colOff>
      <xdr:row>9</xdr:row>
      <xdr:rowOff>6697</xdr:rowOff>
    </xdr:from>
    <xdr:to>
      <xdr:col>35</xdr:col>
      <xdr:colOff>495760</xdr:colOff>
      <xdr:row>32</xdr:row>
      <xdr:rowOff>82826</xdr:rowOff>
    </xdr:to>
    <xdr:graphicFrame macro="">
      <xdr:nvGraphicFramePr>
        <xdr:cNvPr id="17" name="Chart 16">
          <a:extLst>
            <a:ext uri="{FF2B5EF4-FFF2-40B4-BE49-F238E27FC236}">
              <a16:creationId xmlns:a16="http://schemas.microsoft.com/office/drawing/2014/main" id="{0041C7B6-3802-49CD-9981-C7AF8869A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36</xdr:col>
      <xdr:colOff>231774</xdr:colOff>
      <xdr:row>8</xdr:row>
      <xdr:rowOff>179647</xdr:rowOff>
    </xdr:from>
    <xdr:to>
      <xdr:col>42</xdr:col>
      <xdr:colOff>271952</xdr:colOff>
      <xdr:row>32</xdr:row>
      <xdr:rowOff>49696</xdr:rowOff>
    </xdr:to>
    <xdr:graphicFrame macro="">
      <xdr:nvGraphicFramePr>
        <xdr:cNvPr id="18" name="Chart 17">
          <a:extLst>
            <a:ext uri="{FF2B5EF4-FFF2-40B4-BE49-F238E27FC236}">
              <a16:creationId xmlns:a16="http://schemas.microsoft.com/office/drawing/2014/main" id="{52D4D23D-A622-48DE-AB70-45A40F1A7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23</xdr:col>
      <xdr:colOff>368300</xdr:colOff>
      <xdr:row>1</xdr:row>
      <xdr:rowOff>1</xdr:rowOff>
    </xdr:from>
    <xdr:to>
      <xdr:col>26</xdr:col>
      <xdr:colOff>76200</xdr:colOff>
      <xdr:row>7</xdr:row>
      <xdr:rowOff>38100</xdr:rowOff>
    </xdr:to>
    <mc:AlternateContent xmlns:mc="http://schemas.openxmlformats.org/markup-compatibility/2006" xmlns:a14="http://schemas.microsoft.com/office/drawing/2010/main">
      <mc:Choice Requires="a14">
        <xdr:graphicFrame macro="">
          <xdr:nvGraphicFramePr>
            <xdr:cNvPr id="19" name="Customer_Segment">
              <a:extLst>
                <a:ext uri="{FF2B5EF4-FFF2-40B4-BE49-F238E27FC236}">
                  <a16:creationId xmlns:a16="http://schemas.microsoft.com/office/drawing/2014/main" id="{1C75D70D-A091-43D4-9CF2-9DA31F496294}"/>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2534900" y="177801"/>
              <a:ext cx="1536700" cy="1193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381000</xdr:colOff>
      <xdr:row>0</xdr:row>
      <xdr:rowOff>330201</xdr:rowOff>
    </xdr:from>
    <xdr:to>
      <xdr:col>29</xdr:col>
      <xdr:colOff>400050</xdr:colOff>
      <xdr:row>7</xdr:row>
      <xdr:rowOff>49530</xdr:rowOff>
    </xdr:to>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C426AE69-29E9-4CC3-9DA1-A80472E1B56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376400" y="330201"/>
              <a:ext cx="1847850" cy="1200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82550</xdr:colOff>
      <xdr:row>0</xdr:row>
      <xdr:rowOff>323850</xdr:rowOff>
    </xdr:from>
    <xdr:to>
      <xdr:col>32</xdr:col>
      <xdr:colOff>260350</xdr:colOff>
      <xdr:row>7</xdr:row>
      <xdr:rowOff>24130</xdr:rowOff>
    </xdr:to>
    <mc:AlternateContent xmlns:mc="http://schemas.openxmlformats.org/markup-compatibility/2006" xmlns:a14="http://schemas.microsoft.com/office/drawing/2010/main">
      <mc:Choice Requires="a14">
        <xdr:graphicFrame macro="">
          <xdr:nvGraphicFramePr>
            <xdr:cNvPr id="21" name="Category">
              <a:extLst>
                <a:ext uri="{FF2B5EF4-FFF2-40B4-BE49-F238E27FC236}">
                  <a16:creationId xmlns:a16="http://schemas.microsoft.com/office/drawing/2014/main" id="{1415CECD-4FF4-4262-84F1-80E187F2AD5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516350" y="323850"/>
              <a:ext cx="13970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584200</xdr:colOff>
      <xdr:row>1</xdr:row>
      <xdr:rowOff>0</xdr:rowOff>
    </xdr:from>
    <xdr:to>
      <xdr:col>42</xdr:col>
      <xdr:colOff>222250</xdr:colOff>
      <xdr:row>6</xdr:row>
      <xdr:rowOff>215900</xdr:rowOff>
    </xdr:to>
    <mc:AlternateContent xmlns:mc="http://schemas.openxmlformats.org/markup-compatibility/2006" xmlns:tsle="http://schemas.microsoft.com/office/drawing/2012/timeslicer">
      <mc:Choice Requires="tsle">
        <xdr:graphicFrame macro="">
          <xdr:nvGraphicFramePr>
            <xdr:cNvPr id="22" name="Date">
              <a:extLst>
                <a:ext uri="{FF2B5EF4-FFF2-40B4-BE49-F238E27FC236}">
                  <a16:creationId xmlns:a16="http://schemas.microsoft.com/office/drawing/2014/main" id="{022DBD4D-097D-484F-8827-A4DC1EBD329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8237200" y="177800"/>
              <a:ext cx="5734050" cy="1143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177800</xdr:colOff>
      <xdr:row>8</xdr:row>
      <xdr:rowOff>165100</xdr:rowOff>
    </xdr:from>
    <xdr:to>
      <xdr:col>23</xdr:col>
      <xdr:colOff>25400</xdr:colOff>
      <xdr:row>32</xdr:row>
      <xdr:rowOff>76200</xdr:rowOff>
    </xdr:to>
    <xdr:graphicFrame macro="">
      <xdr:nvGraphicFramePr>
        <xdr:cNvPr id="2" name="Chart 1">
          <a:extLst>
            <a:ext uri="{FF2B5EF4-FFF2-40B4-BE49-F238E27FC236}">
              <a16:creationId xmlns:a16="http://schemas.microsoft.com/office/drawing/2014/main" id="{B1AB0046-CCF0-4326-BDA9-161337B3B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325260</xdr:colOff>
      <xdr:row>0</xdr:row>
      <xdr:rowOff>119520</xdr:rowOff>
    </xdr:from>
    <xdr:to>
      <xdr:col>1</xdr:col>
      <xdr:colOff>563880</xdr:colOff>
      <xdr:row>3</xdr:row>
      <xdr:rowOff>99060</xdr:rowOff>
    </xdr:to>
    <xdr:grpSp>
      <xdr:nvGrpSpPr>
        <xdr:cNvPr id="7" name="Group 6">
          <a:hlinkClick xmlns:r="http://schemas.openxmlformats.org/officeDocument/2006/relationships" r:id="rId9"/>
          <a:extLst>
            <a:ext uri="{FF2B5EF4-FFF2-40B4-BE49-F238E27FC236}">
              <a16:creationId xmlns:a16="http://schemas.microsoft.com/office/drawing/2014/main" id="{1699DBA4-DC20-9C53-4C5D-1CBF9D1862C0}"/>
            </a:ext>
          </a:extLst>
        </xdr:cNvPr>
        <xdr:cNvGrpSpPr/>
      </xdr:nvGrpSpPr>
      <xdr:grpSpPr>
        <a:xfrm>
          <a:off x="325260" y="119520"/>
          <a:ext cx="562875" cy="563200"/>
          <a:chOff x="332880" y="233820"/>
          <a:chExt cx="566280" cy="566280"/>
        </a:xfrm>
      </xdr:grpSpPr>
      <xdr:pic>
        <xdr:nvPicPr>
          <xdr:cNvPr id="4" name="Graphic 3" descr="Pie chart with solid fill">
            <a:extLst>
              <a:ext uri="{FF2B5EF4-FFF2-40B4-BE49-F238E27FC236}">
                <a16:creationId xmlns:a16="http://schemas.microsoft.com/office/drawing/2014/main" id="{6E536099-FCE0-E354-581E-966D9F16D45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62940" y="388620"/>
            <a:ext cx="167640" cy="167640"/>
          </a:xfrm>
          <a:prstGeom prst="rect">
            <a:avLst/>
          </a:prstGeom>
        </xdr:spPr>
      </xdr:pic>
      <xdr:pic>
        <xdr:nvPicPr>
          <xdr:cNvPr id="6" name="Graphic 5" descr="Teacher with solid fill">
            <a:extLst>
              <a:ext uri="{FF2B5EF4-FFF2-40B4-BE49-F238E27FC236}">
                <a16:creationId xmlns:a16="http://schemas.microsoft.com/office/drawing/2014/main" id="{07593595-72E5-4BDA-E88B-8D6735AED2E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32880" y="233820"/>
            <a:ext cx="566280" cy="566280"/>
          </a:xfrm>
          <a:prstGeom prst="rect">
            <a:avLst/>
          </a:prstGeom>
        </xdr:spPr>
      </xdr:pic>
    </xdr:grpSp>
    <xdr:clientData/>
  </xdr:twoCellAnchor>
  <xdr:twoCellAnchor editAs="oneCell">
    <xdr:from>
      <xdr:col>0</xdr:col>
      <xdr:colOff>274320</xdr:colOff>
      <xdr:row>7</xdr:row>
      <xdr:rowOff>38100</xdr:rowOff>
    </xdr:from>
    <xdr:to>
      <xdr:col>2</xdr:col>
      <xdr:colOff>53340</xdr:colOff>
      <xdr:row>11</xdr:row>
      <xdr:rowOff>7620</xdr:rowOff>
    </xdr:to>
    <xdr:pic>
      <xdr:nvPicPr>
        <xdr:cNvPr id="10" name="Graphic 9" descr="Database with solid fill">
          <a:hlinkClick xmlns:r="http://schemas.openxmlformats.org/officeDocument/2006/relationships" r:id="rId14"/>
          <a:extLst>
            <a:ext uri="{FF2B5EF4-FFF2-40B4-BE49-F238E27FC236}">
              <a16:creationId xmlns:a16="http://schemas.microsoft.com/office/drawing/2014/main" id="{366A0F4E-9A90-35D8-B29F-6536C3487A4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74320" y="1440180"/>
          <a:ext cx="701040" cy="701040"/>
        </a:xfrm>
        <a:prstGeom prst="rect">
          <a:avLst/>
        </a:prstGeom>
      </xdr:spPr>
    </xdr:pic>
    <xdr:clientData/>
  </xdr:twoCellAnchor>
  <xdr:twoCellAnchor editAs="oneCell">
    <xdr:from>
      <xdr:col>1</xdr:col>
      <xdr:colOff>12840</xdr:colOff>
      <xdr:row>3</xdr:row>
      <xdr:rowOff>157620</xdr:rowOff>
    </xdr:from>
    <xdr:to>
      <xdr:col>2</xdr:col>
      <xdr:colOff>7620</xdr:colOff>
      <xdr:row>6</xdr:row>
      <xdr:rowOff>160020</xdr:rowOff>
    </xdr:to>
    <xdr:pic>
      <xdr:nvPicPr>
        <xdr:cNvPr id="23" name="Graphic 22" descr="Research with solid fill">
          <a:hlinkClick xmlns:r="http://schemas.openxmlformats.org/officeDocument/2006/relationships" r:id="rId17"/>
          <a:extLst>
            <a:ext uri="{FF2B5EF4-FFF2-40B4-BE49-F238E27FC236}">
              <a16:creationId xmlns:a16="http://schemas.microsoft.com/office/drawing/2014/main" id="{106FABEF-B43F-7AED-5B1F-95498A808BD3}"/>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40500" y="744360"/>
          <a:ext cx="589140" cy="589140"/>
        </a:xfrm>
        <a:prstGeom prst="rect">
          <a:avLst/>
        </a:prstGeom>
      </xdr:spPr>
    </xdr:pic>
    <xdr:clientData/>
  </xdr:twoCellAnchor>
  <xdr:twoCellAnchor editAs="oneCell">
    <xdr:from>
      <xdr:col>1</xdr:col>
      <xdr:colOff>35289</xdr:colOff>
      <xdr:row>23</xdr:row>
      <xdr:rowOff>65739</xdr:rowOff>
    </xdr:from>
    <xdr:to>
      <xdr:col>1</xdr:col>
      <xdr:colOff>568024</xdr:colOff>
      <xdr:row>26</xdr:row>
      <xdr:rowOff>46685</xdr:rowOff>
    </xdr:to>
    <xdr:pic>
      <xdr:nvPicPr>
        <xdr:cNvPr id="25" name="Graphic 24" descr="Email with solid fill">
          <a:hlinkClick xmlns:r="http://schemas.openxmlformats.org/officeDocument/2006/relationships" r:id="rId20"/>
          <a:extLst>
            <a:ext uri="{FF2B5EF4-FFF2-40B4-BE49-F238E27FC236}">
              <a16:creationId xmlns:a16="http://schemas.microsoft.com/office/drawing/2014/main" id="{952FA0ED-2BA0-AE82-F1A0-4CBC652D50D5}"/>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66259" y="4437618"/>
          <a:ext cx="532735" cy="535128"/>
        </a:xfrm>
        <a:prstGeom prst="rect">
          <a:avLst/>
        </a:prstGeom>
      </xdr:spPr>
    </xdr:pic>
    <xdr:clientData/>
  </xdr:twoCellAnchor>
  <xdr:twoCellAnchor editAs="oneCell">
    <xdr:from>
      <xdr:col>0</xdr:col>
      <xdr:colOff>315575</xdr:colOff>
      <xdr:row>11</xdr:row>
      <xdr:rowOff>130849</xdr:rowOff>
    </xdr:from>
    <xdr:to>
      <xdr:col>2</xdr:col>
      <xdr:colOff>23090</xdr:colOff>
      <xdr:row>15</xdr:row>
      <xdr:rowOff>23091</xdr:rowOff>
    </xdr:to>
    <xdr:pic>
      <xdr:nvPicPr>
        <xdr:cNvPr id="27" name="Graphic 26" descr="Bullseye with solid fill">
          <a:hlinkClick xmlns:r="http://schemas.openxmlformats.org/officeDocument/2006/relationships" r:id="rId23"/>
          <a:extLst>
            <a:ext uri="{FF2B5EF4-FFF2-40B4-BE49-F238E27FC236}">
              <a16:creationId xmlns:a16="http://schemas.microsoft.com/office/drawing/2014/main" id="{BD093345-2985-E94D-5DED-AD53F15D047D}"/>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315575" y="2286001"/>
          <a:ext cx="631151" cy="6311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325260</xdr:colOff>
      <xdr:row>0</xdr:row>
      <xdr:rowOff>119520</xdr:rowOff>
    </xdr:from>
    <xdr:to>
      <xdr:col>1</xdr:col>
      <xdr:colOff>563880</xdr:colOff>
      <xdr:row>3</xdr:row>
      <xdr:rowOff>99060</xdr:rowOff>
    </xdr:to>
    <xdr:grpSp>
      <xdr:nvGrpSpPr>
        <xdr:cNvPr id="3" name="Group 2">
          <a:hlinkClick xmlns:r="http://schemas.openxmlformats.org/officeDocument/2006/relationships" r:id="rId1"/>
          <a:extLst>
            <a:ext uri="{FF2B5EF4-FFF2-40B4-BE49-F238E27FC236}">
              <a16:creationId xmlns:a16="http://schemas.microsoft.com/office/drawing/2014/main" id="{32A4D7C2-05C2-4910-BA6A-4EC78AD82144}"/>
            </a:ext>
          </a:extLst>
        </xdr:cNvPr>
        <xdr:cNvGrpSpPr/>
      </xdr:nvGrpSpPr>
      <xdr:grpSpPr>
        <a:xfrm>
          <a:off x="325260" y="119520"/>
          <a:ext cx="573900" cy="528180"/>
          <a:chOff x="332880" y="233820"/>
          <a:chExt cx="566280" cy="566280"/>
        </a:xfrm>
      </xdr:grpSpPr>
      <xdr:pic>
        <xdr:nvPicPr>
          <xdr:cNvPr id="4" name="Graphic 3" descr="Pie chart with solid fill">
            <a:extLst>
              <a:ext uri="{FF2B5EF4-FFF2-40B4-BE49-F238E27FC236}">
                <a16:creationId xmlns:a16="http://schemas.microsoft.com/office/drawing/2014/main" id="{889229DA-247C-EE63-F52A-1BB393A6FC8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62940" y="388620"/>
            <a:ext cx="167640" cy="167640"/>
          </a:xfrm>
          <a:prstGeom prst="rect">
            <a:avLst/>
          </a:prstGeom>
        </xdr:spPr>
      </xdr:pic>
      <xdr:pic>
        <xdr:nvPicPr>
          <xdr:cNvPr id="5" name="Graphic 4" descr="Teacher with solid fill">
            <a:extLst>
              <a:ext uri="{FF2B5EF4-FFF2-40B4-BE49-F238E27FC236}">
                <a16:creationId xmlns:a16="http://schemas.microsoft.com/office/drawing/2014/main" id="{4CAD4102-B249-2F60-5611-B089AAC8756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32880" y="233820"/>
            <a:ext cx="566280" cy="566280"/>
          </a:xfrm>
          <a:prstGeom prst="rect">
            <a:avLst/>
          </a:prstGeom>
        </xdr:spPr>
      </xdr:pic>
    </xdr:grpSp>
    <xdr:clientData/>
  </xdr:twoCellAnchor>
  <xdr:twoCellAnchor editAs="oneCell">
    <xdr:from>
      <xdr:col>0</xdr:col>
      <xdr:colOff>274320</xdr:colOff>
      <xdr:row>7</xdr:row>
      <xdr:rowOff>38100</xdr:rowOff>
    </xdr:from>
    <xdr:to>
      <xdr:col>2</xdr:col>
      <xdr:colOff>38100</xdr:colOff>
      <xdr:row>11</xdr:row>
      <xdr:rowOff>7620</xdr:rowOff>
    </xdr:to>
    <xdr:pic>
      <xdr:nvPicPr>
        <xdr:cNvPr id="6" name="Graphic 5" descr="Database with solid fill">
          <a:hlinkClick xmlns:r="http://schemas.openxmlformats.org/officeDocument/2006/relationships" r:id="rId6"/>
          <a:extLst>
            <a:ext uri="{FF2B5EF4-FFF2-40B4-BE49-F238E27FC236}">
              <a16:creationId xmlns:a16="http://schemas.microsoft.com/office/drawing/2014/main" id="{4DB4C556-10C1-4DCB-9ADB-AB51E24EE6D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74320" y="1440180"/>
          <a:ext cx="701040" cy="701040"/>
        </a:xfrm>
        <a:prstGeom prst="rect">
          <a:avLst/>
        </a:prstGeom>
      </xdr:spPr>
    </xdr:pic>
    <xdr:clientData/>
  </xdr:twoCellAnchor>
  <xdr:twoCellAnchor editAs="oneCell">
    <xdr:from>
      <xdr:col>1</xdr:col>
      <xdr:colOff>12840</xdr:colOff>
      <xdr:row>3</xdr:row>
      <xdr:rowOff>157620</xdr:rowOff>
    </xdr:from>
    <xdr:to>
      <xdr:col>2</xdr:col>
      <xdr:colOff>0</xdr:colOff>
      <xdr:row>7</xdr:row>
      <xdr:rowOff>15240</xdr:rowOff>
    </xdr:to>
    <xdr:pic>
      <xdr:nvPicPr>
        <xdr:cNvPr id="7" name="Graphic 6" descr="Research with solid fill">
          <a:hlinkClick xmlns:r="http://schemas.openxmlformats.org/officeDocument/2006/relationships" r:id="rId9"/>
          <a:extLst>
            <a:ext uri="{FF2B5EF4-FFF2-40B4-BE49-F238E27FC236}">
              <a16:creationId xmlns:a16="http://schemas.microsoft.com/office/drawing/2014/main" id="{2D4621D9-B0AD-499E-A41B-459C7B193AC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40500" y="744360"/>
          <a:ext cx="589140" cy="589140"/>
        </a:xfrm>
        <a:prstGeom prst="rect">
          <a:avLst/>
        </a:prstGeom>
      </xdr:spPr>
    </xdr:pic>
    <xdr:clientData/>
  </xdr:twoCellAnchor>
  <xdr:twoCellAnchor editAs="oneCell">
    <xdr:from>
      <xdr:col>1</xdr:col>
      <xdr:colOff>35289</xdr:colOff>
      <xdr:row>23</xdr:row>
      <xdr:rowOff>65739</xdr:rowOff>
    </xdr:from>
    <xdr:to>
      <xdr:col>1</xdr:col>
      <xdr:colOff>568024</xdr:colOff>
      <xdr:row>26</xdr:row>
      <xdr:rowOff>46685</xdr:rowOff>
    </xdr:to>
    <xdr:pic>
      <xdr:nvPicPr>
        <xdr:cNvPr id="8" name="Graphic 7" descr="Email with solid fill">
          <a:hlinkClick xmlns:r="http://schemas.openxmlformats.org/officeDocument/2006/relationships" r:id="rId12"/>
          <a:extLst>
            <a:ext uri="{FF2B5EF4-FFF2-40B4-BE49-F238E27FC236}">
              <a16:creationId xmlns:a16="http://schemas.microsoft.com/office/drawing/2014/main" id="{B590A663-8044-4B11-B237-090A1528DF6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62949" y="4393899"/>
          <a:ext cx="532735" cy="529586"/>
        </a:xfrm>
        <a:prstGeom prst="rect">
          <a:avLst/>
        </a:prstGeom>
      </xdr:spPr>
    </xdr:pic>
    <xdr:clientData/>
  </xdr:twoCellAnchor>
  <xdr:twoCellAnchor editAs="oneCell">
    <xdr:from>
      <xdr:col>0</xdr:col>
      <xdr:colOff>315575</xdr:colOff>
      <xdr:row>11</xdr:row>
      <xdr:rowOff>130849</xdr:rowOff>
    </xdr:from>
    <xdr:to>
      <xdr:col>2</xdr:col>
      <xdr:colOff>7850</xdr:colOff>
      <xdr:row>15</xdr:row>
      <xdr:rowOff>23091</xdr:rowOff>
    </xdr:to>
    <xdr:pic>
      <xdr:nvPicPr>
        <xdr:cNvPr id="9" name="Graphic 8" descr="Bullseye with solid fill">
          <a:hlinkClick xmlns:r="http://schemas.openxmlformats.org/officeDocument/2006/relationships" r:id="rId15"/>
          <a:extLst>
            <a:ext uri="{FF2B5EF4-FFF2-40B4-BE49-F238E27FC236}">
              <a16:creationId xmlns:a16="http://schemas.microsoft.com/office/drawing/2014/main" id="{9D4A964E-2ACB-420D-BFEC-5116F107486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15575" y="2264449"/>
          <a:ext cx="629535" cy="6237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317640</xdr:colOff>
      <xdr:row>0</xdr:row>
      <xdr:rowOff>119520</xdr:rowOff>
    </xdr:from>
    <xdr:to>
      <xdr:col>1</xdr:col>
      <xdr:colOff>563880</xdr:colOff>
      <xdr:row>3</xdr:row>
      <xdr:rowOff>99060</xdr:rowOff>
    </xdr:to>
    <xdr:grpSp>
      <xdr:nvGrpSpPr>
        <xdr:cNvPr id="2" name="Group 1">
          <a:hlinkClick xmlns:r="http://schemas.openxmlformats.org/officeDocument/2006/relationships" r:id="rId1"/>
          <a:extLst>
            <a:ext uri="{FF2B5EF4-FFF2-40B4-BE49-F238E27FC236}">
              <a16:creationId xmlns:a16="http://schemas.microsoft.com/office/drawing/2014/main" id="{77E6BC83-4B21-46B0-9B0A-66EAF38D27C2}"/>
            </a:ext>
          </a:extLst>
        </xdr:cNvPr>
        <xdr:cNvGrpSpPr/>
      </xdr:nvGrpSpPr>
      <xdr:grpSpPr>
        <a:xfrm>
          <a:off x="317640" y="119520"/>
          <a:ext cx="567082" cy="532993"/>
          <a:chOff x="332880" y="233820"/>
          <a:chExt cx="566280" cy="566280"/>
        </a:xfrm>
      </xdr:grpSpPr>
      <xdr:pic>
        <xdr:nvPicPr>
          <xdr:cNvPr id="3" name="Graphic 2" descr="Pie chart with solid fill">
            <a:extLst>
              <a:ext uri="{FF2B5EF4-FFF2-40B4-BE49-F238E27FC236}">
                <a16:creationId xmlns:a16="http://schemas.microsoft.com/office/drawing/2014/main" id="{76C4DD27-C81D-B30A-C787-C8121B92FE3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62940" y="388620"/>
            <a:ext cx="167640" cy="167640"/>
          </a:xfrm>
          <a:prstGeom prst="rect">
            <a:avLst/>
          </a:prstGeom>
        </xdr:spPr>
      </xdr:pic>
      <xdr:pic>
        <xdr:nvPicPr>
          <xdr:cNvPr id="4" name="Graphic 3" descr="Teacher with solid fill">
            <a:extLst>
              <a:ext uri="{FF2B5EF4-FFF2-40B4-BE49-F238E27FC236}">
                <a16:creationId xmlns:a16="http://schemas.microsoft.com/office/drawing/2014/main" id="{5A3395AD-93FE-A9E0-0058-D36B4388058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32880" y="233820"/>
            <a:ext cx="566280" cy="566280"/>
          </a:xfrm>
          <a:prstGeom prst="rect">
            <a:avLst/>
          </a:prstGeom>
        </xdr:spPr>
      </xdr:pic>
    </xdr:grpSp>
    <xdr:clientData/>
  </xdr:twoCellAnchor>
  <xdr:twoCellAnchor editAs="oneCell">
    <xdr:from>
      <xdr:col>0</xdr:col>
      <xdr:colOff>274320</xdr:colOff>
      <xdr:row>7</xdr:row>
      <xdr:rowOff>38100</xdr:rowOff>
    </xdr:from>
    <xdr:to>
      <xdr:col>2</xdr:col>
      <xdr:colOff>53340</xdr:colOff>
      <xdr:row>11</xdr:row>
      <xdr:rowOff>7620</xdr:rowOff>
    </xdr:to>
    <xdr:pic>
      <xdr:nvPicPr>
        <xdr:cNvPr id="5" name="Graphic 4" descr="Database with solid fill">
          <a:hlinkClick xmlns:r="http://schemas.openxmlformats.org/officeDocument/2006/relationships" r:id="rId6"/>
          <a:extLst>
            <a:ext uri="{FF2B5EF4-FFF2-40B4-BE49-F238E27FC236}">
              <a16:creationId xmlns:a16="http://schemas.microsoft.com/office/drawing/2014/main" id="{3F465F0F-9EC0-4102-B2E7-BB8E916E628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74320" y="1440180"/>
          <a:ext cx="701040" cy="701040"/>
        </a:xfrm>
        <a:prstGeom prst="rect">
          <a:avLst/>
        </a:prstGeom>
      </xdr:spPr>
    </xdr:pic>
    <xdr:clientData/>
  </xdr:twoCellAnchor>
  <xdr:twoCellAnchor editAs="oneCell">
    <xdr:from>
      <xdr:col>1</xdr:col>
      <xdr:colOff>12840</xdr:colOff>
      <xdr:row>3</xdr:row>
      <xdr:rowOff>157620</xdr:rowOff>
    </xdr:from>
    <xdr:to>
      <xdr:col>2</xdr:col>
      <xdr:colOff>0</xdr:colOff>
      <xdr:row>7</xdr:row>
      <xdr:rowOff>15240</xdr:rowOff>
    </xdr:to>
    <xdr:pic>
      <xdr:nvPicPr>
        <xdr:cNvPr id="6" name="Graphic 5" descr="Research with solid fill">
          <a:hlinkClick xmlns:r="http://schemas.openxmlformats.org/officeDocument/2006/relationships" r:id="rId9"/>
          <a:extLst>
            <a:ext uri="{FF2B5EF4-FFF2-40B4-BE49-F238E27FC236}">
              <a16:creationId xmlns:a16="http://schemas.microsoft.com/office/drawing/2014/main" id="{66FCE7CE-6A96-46FE-8967-66F8C43DF1C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40500" y="744360"/>
          <a:ext cx="589140" cy="589140"/>
        </a:xfrm>
        <a:prstGeom prst="rect">
          <a:avLst/>
        </a:prstGeom>
      </xdr:spPr>
    </xdr:pic>
    <xdr:clientData/>
  </xdr:twoCellAnchor>
  <xdr:twoCellAnchor editAs="oneCell">
    <xdr:from>
      <xdr:col>1</xdr:col>
      <xdr:colOff>35289</xdr:colOff>
      <xdr:row>23</xdr:row>
      <xdr:rowOff>65739</xdr:rowOff>
    </xdr:from>
    <xdr:to>
      <xdr:col>1</xdr:col>
      <xdr:colOff>568024</xdr:colOff>
      <xdr:row>25</xdr:row>
      <xdr:rowOff>153365</xdr:rowOff>
    </xdr:to>
    <xdr:pic>
      <xdr:nvPicPr>
        <xdr:cNvPr id="7" name="Graphic 6" descr="Email with solid fill">
          <a:hlinkClick xmlns:r="http://schemas.openxmlformats.org/officeDocument/2006/relationships" r:id="rId12"/>
          <a:extLst>
            <a:ext uri="{FF2B5EF4-FFF2-40B4-BE49-F238E27FC236}">
              <a16:creationId xmlns:a16="http://schemas.microsoft.com/office/drawing/2014/main" id="{1B77373D-629C-46CD-9068-D10EA6A6374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62949" y="4393899"/>
          <a:ext cx="532735" cy="529586"/>
        </a:xfrm>
        <a:prstGeom prst="rect">
          <a:avLst/>
        </a:prstGeom>
      </xdr:spPr>
    </xdr:pic>
    <xdr:clientData/>
  </xdr:twoCellAnchor>
  <xdr:twoCellAnchor editAs="oneCell">
    <xdr:from>
      <xdr:col>0</xdr:col>
      <xdr:colOff>315575</xdr:colOff>
      <xdr:row>11</xdr:row>
      <xdr:rowOff>130849</xdr:rowOff>
    </xdr:from>
    <xdr:to>
      <xdr:col>2</xdr:col>
      <xdr:colOff>23090</xdr:colOff>
      <xdr:row>13</xdr:row>
      <xdr:rowOff>388851</xdr:rowOff>
    </xdr:to>
    <xdr:pic>
      <xdr:nvPicPr>
        <xdr:cNvPr id="8" name="Graphic 7" descr="Bullseye with solid fill">
          <a:hlinkClick xmlns:r="http://schemas.openxmlformats.org/officeDocument/2006/relationships" r:id="rId15"/>
          <a:extLst>
            <a:ext uri="{FF2B5EF4-FFF2-40B4-BE49-F238E27FC236}">
              <a16:creationId xmlns:a16="http://schemas.microsoft.com/office/drawing/2014/main" id="{D190EC1D-71EC-4531-8BC5-D781DAB3450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15575" y="2264449"/>
          <a:ext cx="629535" cy="6237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325260</xdr:colOff>
      <xdr:row>0</xdr:row>
      <xdr:rowOff>119520</xdr:rowOff>
    </xdr:from>
    <xdr:to>
      <xdr:col>1</xdr:col>
      <xdr:colOff>563880</xdr:colOff>
      <xdr:row>3</xdr:row>
      <xdr:rowOff>99060</xdr:rowOff>
    </xdr:to>
    <xdr:grpSp>
      <xdr:nvGrpSpPr>
        <xdr:cNvPr id="2" name="Group 1">
          <a:hlinkClick xmlns:r="http://schemas.openxmlformats.org/officeDocument/2006/relationships" r:id="rId1"/>
          <a:extLst>
            <a:ext uri="{FF2B5EF4-FFF2-40B4-BE49-F238E27FC236}">
              <a16:creationId xmlns:a16="http://schemas.microsoft.com/office/drawing/2014/main" id="{F462FC75-DC5E-4541-9E68-FA59CC662EB9}"/>
            </a:ext>
          </a:extLst>
        </xdr:cNvPr>
        <xdr:cNvGrpSpPr/>
      </xdr:nvGrpSpPr>
      <xdr:grpSpPr>
        <a:xfrm>
          <a:off x="325260" y="119520"/>
          <a:ext cx="566280" cy="528180"/>
          <a:chOff x="332880" y="233820"/>
          <a:chExt cx="566280" cy="566280"/>
        </a:xfrm>
      </xdr:grpSpPr>
      <xdr:pic>
        <xdr:nvPicPr>
          <xdr:cNvPr id="3" name="Graphic 2" descr="Pie chart with solid fill">
            <a:extLst>
              <a:ext uri="{FF2B5EF4-FFF2-40B4-BE49-F238E27FC236}">
                <a16:creationId xmlns:a16="http://schemas.microsoft.com/office/drawing/2014/main" id="{C6F55005-2F10-6B19-524B-75884461903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62940" y="388620"/>
            <a:ext cx="167640" cy="167640"/>
          </a:xfrm>
          <a:prstGeom prst="rect">
            <a:avLst/>
          </a:prstGeom>
        </xdr:spPr>
      </xdr:pic>
      <xdr:pic>
        <xdr:nvPicPr>
          <xdr:cNvPr id="4" name="Graphic 3" descr="Teacher with solid fill">
            <a:extLst>
              <a:ext uri="{FF2B5EF4-FFF2-40B4-BE49-F238E27FC236}">
                <a16:creationId xmlns:a16="http://schemas.microsoft.com/office/drawing/2014/main" id="{D4A97A7E-95B3-DF73-3268-8E2028673B7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32880" y="233820"/>
            <a:ext cx="566280" cy="566280"/>
          </a:xfrm>
          <a:prstGeom prst="rect">
            <a:avLst/>
          </a:prstGeom>
        </xdr:spPr>
      </xdr:pic>
    </xdr:grpSp>
    <xdr:clientData/>
  </xdr:twoCellAnchor>
  <xdr:twoCellAnchor editAs="oneCell">
    <xdr:from>
      <xdr:col>0</xdr:col>
      <xdr:colOff>274320</xdr:colOff>
      <xdr:row>7</xdr:row>
      <xdr:rowOff>38100</xdr:rowOff>
    </xdr:from>
    <xdr:to>
      <xdr:col>2</xdr:col>
      <xdr:colOff>45720</xdr:colOff>
      <xdr:row>11</xdr:row>
      <xdr:rowOff>7620</xdr:rowOff>
    </xdr:to>
    <xdr:pic>
      <xdr:nvPicPr>
        <xdr:cNvPr id="5" name="Graphic 4" descr="Database with solid fill">
          <a:hlinkClick xmlns:r="http://schemas.openxmlformats.org/officeDocument/2006/relationships" r:id="rId6"/>
          <a:extLst>
            <a:ext uri="{FF2B5EF4-FFF2-40B4-BE49-F238E27FC236}">
              <a16:creationId xmlns:a16="http://schemas.microsoft.com/office/drawing/2014/main" id="{E87BCE5D-8DBD-4A70-9100-514D1708488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74320" y="1440180"/>
          <a:ext cx="701040" cy="701040"/>
        </a:xfrm>
        <a:prstGeom prst="rect">
          <a:avLst/>
        </a:prstGeom>
      </xdr:spPr>
    </xdr:pic>
    <xdr:clientData/>
  </xdr:twoCellAnchor>
  <xdr:twoCellAnchor editAs="oneCell">
    <xdr:from>
      <xdr:col>1</xdr:col>
      <xdr:colOff>12840</xdr:colOff>
      <xdr:row>3</xdr:row>
      <xdr:rowOff>157620</xdr:rowOff>
    </xdr:from>
    <xdr:to>
      <xdr:col>2</xdr:col>
      <xdr:colOff>0</xdr:colOff>
      <xdr:row>6</xdr:row>
      <xdr:rowOff>160020</xdr:rowOff>
    </xdr:to>
    <xdr:pic>
      <xdr:nvPicPr>
        <xdr:cNvPr id="6" name="Graphic 5" descr="Research with solid fill">
          <a:hlinkClick xmlns:r="http://schemas.openxmlformats.org/officeDocument/2006/relationships" r:id="rId9"/>
          <a:extLst>
            <a:ext uri="{FF2B5EF4-FFF2-40B4-BE49-F238E27FC236}">
              <a16:creationId xmlns:a16="http://schemas.microsoft.com/office/drawing/2014/main" id="{E2EFBD67-6CEE-4E02-A2E0-5DE4C030C3E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40500" y="744360"/>
          <a:ext cx="589140" cy="589140"/>
        </a:xfrm>
        <a:prstGeom prst="rect">
          <a:avLst/>
        </a:prstGeom>
      </xdr:spPr>
    </xdr:pic>
    <xdr:clientData/>
  </xdr:twoCellAnchor>
  <xdr:twoCellAnchor editAs="oneCell">
    <xdr:from>
      <xdr:col>1</xdr:col>
      <xdr:colOff>35289</xdr:colOff>
      <xdr:row>23</xdr:row>
      <xdr:rowOff>65739</xdr:rowOff>
    </xdr:from>
    <xdr:to>
      <xdr:col>1</xdr:col>
      <xdr:colOff>568024</xdr:colOff>
      <xdr:row>26</xdr:row>
      <xdr:rowOff>8585</xdr:rowOff>
    </xdr:to>
    <xdr:pic>
      <xdr:nvPicPr>
        <xdr:cNvPr id="7" name="Graphic 6" descr="Email with solid fill">
          <a:hlinkClick xmlns:r="http://schemas.openxmlformats.org/officeDocument/2006/relationships" r:id="rId12"/>
          <a:extLst>
            <a:ext uri="{FF2B5EF4-FFF2-40B4-BE49-F238E27FC236}">
              <a16:creationId xmlns:a16="http://schemas.microsoft.com/office/drawing/2014/main" id="{156F68D3-3FEF-453E-93D6-B59AADF072C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62949" y="4393899"/>
          <a:ext cx="532735" cy="529586"/>
        </a:xfrm>
        <a:prstGeom prst="rect">
          <a:avLst/>
        </a:prstGeom>
      </xdr:spPr>
    </xdr:pic>
    <xdr:clientData/>
  </xdr:twoCellAnchor>
  <xdr:twoCellAnchor editAs="oneCell">
    <xdr:from>
      <xdr:col>0</xdr:col>
      <xdr:colOff>315575</xdr:colOff>
      <xdr:row>11</xdr:row>
      <xdr:rowOff>130849</xdr:rowOff>
    </xdr:from>
    <xdr:to>
      <xdr:col>2</xdr:col>
      <xdr:colOff>15470</xdr:colOff>
      <xdr:row>14</xdr:row>
      <xdr:rowOff>167871</xdr:rowOff>
    </xdr:to>
    <xdr:pic>
      <xdr:nvPicPr>
        <xdr:cNvPr id="8" name="Graphic 7" descr="Bullseye with solid fill">
          <a:hlinkClick xmlns:r="http://schemas.openxmlformats.org/officeDocument/2006/relationships" r:id="rId15"/>
          <a:extLst>
            <a:ext uri="{FF2B5EF4-FFF2-40B4-BE49-F238E27FC236}">
              <a16:creationId xmlns:a16="http://schemas.microsoft.com/office/drawing/2014/main" id="{201AC90E-EC64-40FC-8C70-6A5C16696CD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15575" y="2264449"/>
          <a:ext cx="629535" cy="62376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see" refreshedDate="46139.780972337961" createdVersion="8" refreshedVersion="8" minRefreshableVersion="3" recordCount="250" xr:uid="{71689426-62A5-4399-9479-F45CCAE63779}">
  <cacheSource type="worksheet">
    <worksheetSource name="Row_Data"/>
  </cacheSource>
  <cacheFields count="17">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ount="44">
        <n v="749.97"/>
        <n v="179.97"/>
        <n v="749.95"/>
        <n v="119.98"/>
        <n v="2699.97"/>
        <n v="149.99"/>
        <n v="449.97"/>
        <n v="2099.9699999999998"/>
        <n v="899.99"/>
        <n v="599.96"/>
        <n v="1399.98"/>
        <n v="3599.96"/>
        <n v="3499.95"/>
        <n v="2799.96"/>
        <n v="999.96"/>
        <n v="1199.96"/>
        <n v="1249.95"/>
        <n v="1499.95"/>
        <n v="239.97"/>
        <n v="449.95"/>
        <n v="239.96"/>
        <n v="999.95"/>
        <n v="299.98"/>
        <n v="899.97"/>
        <n v="599.97"/>
        <n v="269.97000000000003"/>
        <n v="79.989999999999995"/>
        <n v="89.99"/>
        <n v="179.98"/>
        <n v="4499.95"/>
        <n v="59.99"/>
        <n v="599.98"/>
        <n v="359.96"/>
        <n v="399.95"/>
        <n v="299.99"/>
        <n v="399.98"/>
        <n v="499.98"/>
        <n v="799.96"/>
        <n v="699.99"/>
        <n v="249.99"/>
        <n v="319.95999999999998"/>
        <n v="199.99"/>
        <n v="299.95"/>
        <n v="1799.98"/>
      </sharedItems>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20292108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x v="0"/>
    <s v="P009"/>
    <x v="0"/>
    <x v="0"/>
    <n v="3"/>
    <n v="249.99"/>
    <s v="Cash"/>
    <x v="0"/>
    <x v="0"/>
    <d v="2021-08-17T00:00:00"/>
    <x v="0"/>
  </r>
  <r>
    <s v="TRX0023"/>
    <x v="1"/>
    <s v="CUST013"/>
    <x v="1"/>
    <s v="P009"/>
    <x v="0"/>
    <x v="0"/>
    <n v="3"/>
    <n v="249.99"/>
    <s v="Credit Card"/>
    <x v="0"/>
    <x v="1"/>
    <d v="2022-01-14T00:00:00"/>
    <x v="0"/>
  </r>
  <r>
    <s v="TRX0139"/>
    <x v="2"/>
    <s v="CUST021"/>
    <x v="2"/>
    <s v="P005"/>
    <x v="1"/>
    <x v="1"/>
    <n v="3"/>
    <n v="59.99"/>
    <s v="PayPal"/>
    <x v="1"/>
    <x v="2"/>
    <d v="2023-12-02T00:00:00"/>
    <x v="1"/>
  </r>
  <r>
    <s v="TRX0043"/>
    <x v="3"/>
    <s v="CUST046"/>
    <x v="3"/>
    <s v="P005"/>
    <x v="1"/>
    <x v="1"/>
    <n v="3"/>
    <n v="59.99"/>
    <s v="Cash"/>
    <x v="2"/>
    <x v="1"/>
    <d v="2023-07-07T00:00:00"/>
    <x v="1"/>
  </r>
  <r>
    <s v="TRX0212"/>
    <x v="3"/>
    <s v="CUST003"/>
    <x v="4"/>
    <s v="P008"/>
    <x v="2"/>
    <x v="2"/>
    <n v="5"/>
    <n v="149.99"/>
    <s v="Credit Card"/>
    <x v="2"/>
    <x v="1"/>
    <d v="2024-01-04T00:00:00"/>
    <x v="2"/>
  </r>
  <r>
    <s v="TRX0092"/>
    <x v="4"/>
    <s v="CUST024"/>
    <x v="5"/>
    <s v="P005"/>
    <x v="1"/>
    <x v="1"/>
    <n v="2"/>
    <n v="59.99"/>
    <s v="Cash"/>
    <x v="3"/>
    <x v="2"/>
    <d v="2022-07-04T00:00:00"/>
    <x v="3"/>
  </r>
  <r>
    <s v="TRX0193"/>
    <x v="4"/>
    <s v="CUST024"/>
    <x v="5"/>
    <s v="P003"/>
    <x v="3"/>
    <x v="0"/>
    <n v="5"/>
    <n v="149.99"/>
    <s v="Credit Card"/>
    <x v="0"/>
    <x v="2"/>
    <d v="2021-08-10T00:00:00"/>
    <x v="2"/>
  </r>
  <r>
    <s v="TRX0240"/>
    <x v="4"/>
    <s v="CUST017"/>
    <x v="6"/>
    <s v="P005"/>
    <x v="1"/>
    <x v="1"/>
    <n v="3"/>
    <n v="59.99"/>
    <s v="Debit Card"/>
    <x v="1"/>
    <x v="0"/>
    <d v="2023-03-22T00:00:00"/>
    <x v="1"/>
  </r>
  <r>
    <s v="TRX0135"/>
    <x v="5"/>
    <s v="CUST009"/>
    <x v="7"/>
    <s v="P001"/>
    <x v="4"/>
    <x v="0"/>
    <n v="3"/>
    <n v="899.99"/>
    <s v="PayPal"/>
    <x v="4"/>
    <x v="2"/>
    <d v="2024-01-08T00:00:00"/>
    <x v="4"/>
  </r>
  <r>
    <s v="TRX0185"/>
    <x v="6"/>
    <s v="CUST026"/>
    <x v="8"/>
    <s v="P005"/>
    <x v="1"/>
    <x v="1"/>
    <n v="3"/>
    <n v="59.99"/>
    <s v="Cash"/>
    <x v="3"/>
    <x v="1"/>
    <d v="2023-10-08T00:00:00"/>
    <x v="1"/>
  </r>
  <r>
    <s v="TRX0138"/>
    <x v="6"/>
    <s v="CUST022"/>
    <x v="9"/>
    <s v="P008"/>
    <x v="2"/>
    <x v="2"/>
    <n v="1"/>
    <n v="149.99"/>
    <s v="Credit Card"/>
    <x v="3"/>
    <x v="2"/>
    <d v="2023-06-26T00:00:00"/>
    <x v="5"/>
  </r>
  <r>
    <s v="TRX0209"/>
    <x v="6"/>
    <s v="CUST046"/>
    <x v="3"/>
    <s v="P008"/>
    <x v="2"/>
    <x v="2"/>
    <n v="5"/>
    <n v="149.99"/>
    <s v="Debit Card"/>
    <x v="2"/>
    <x v="0"/>
    <d v="2022-09-26T00:00:00"/>
    <x v="2"/>
  </r>
  <r>
    <s v="TRX0246"/>
    <x v="6"/>
    <s v="CUST041"/>
    <x v="10"/>
    <s v="P008"/>
    <x v="2"/>
    <x v="2"/>
    <n v="3"/>
    <n v="149.99"/>
    <s v="Cash"/>
    <x v="2"/>
    <x v="1"/>
    <d v="2022-09-02T00:00:00"/>
    <x v="6"/>
  </r>
  <r>
    <s v="TRX0067"/>
    <x v="7"/>
    <s v="CUST043"/>
    <x v="11"/>
    <s v="P005"/>
    <x v="1"/>
    <x v="1"/>
    <n v="3"/>
    <n v="59.99"/>
    <s v="Credit Card"/>
    <x v="2"/>
    <x v="2"/>
    <d v="2024-02-29T00:00:00"/>
    <x v="1"/>
  </r>
  <r>
    <s v="TRX0191"/>
    <x v="7"/>
    <s v="CUST038"/>
    <x v="12"/>
    <s v="P002"/>
    <x v="5"/>
    <x v="0"/>
    <n v="3"/>
    <n v="699.99"/>
    <s v="Credit Card"/>
    <x v="3"/>
    <x v="0"/>
    <d v="2022-01-16T00:00:00"/>
    <x v="7"/>
  </r>
  <r>
    <s v="TRX0230"/>
    <x v="7"/>
    <s v="CUST027"/>
    <x v="13"/>
    <s v="P001"/>
    <x v="4"/>
    <x v="0"/>
    <n v="1"/>
    <n v="899.99"/>
    <s v="Debit Card"/>
    <x v="2"/>
    <x v="2"/>
    <d v="2022-12-25T00:00:00"/>
    <x v="8"/>
  </r>
  <r>
    <s v="TRX0049"/>
    <x v="8"/>
    <s v="CUST025"/>
    <x v="14"/>
    <s v="P008"/>
    <x v="2"/>
    <x v="2"/>
    <n v="4"/>
    <n v="149.99"/>
    <s v="Debit Card"/>
    <x v="2"/>
    <x v="1"/>
    <d v="2024-03-23T00:00:00"/>
    <x v="9"/>
  </r>
  <r>
    <s v="TRX0134"/>
    <x v="8"/>
    <s v="CUST010"/>
    <x v="15"/>
    <s v="P002"/>
    <x v="5"/>
    <x v="0"/>
    <n v="2"/>
    <n v="699.99"/>
    <s v="Cash"/>
    <x v="2"/>
    <x v="0"/>
    <d v="2022-08-08T00:00:00"/>
    <x v="10"/>
  </r>
  <r>
    <s v="TRX0122"/>
    <x v="8"/>
    <s v="CUST025"/>
    <x v="14"/>
    <s v="P001"/>
    <x v="4"/>
    <x v="0"/>
    <n v="4"/>
    <n v="899.99"/>
    <s v="Credit Card"/>
    <x v="3"/>
    <x v="2"/>
    <d v="2024-02-05T00:00:00"/>
    <x v="11"/>
  </r>
  <r>
    <s v="TRX0222"/>
    <x v="8"/>
    <s v="CUST048"/>
    <x v="16"/>
    <s v="P009"/>
    <x v="0"/>
    <x v="0"/>
    <n v="3"/>
    <n v="249.99"/>
    <s v="Credit Card"/>
    <x v="2"/>
    <x v="1"/>
    <d v="2023-10-25T00:00:00"/>
    <x v="0"/>
  </r>
  <r>
    <s v="TRX0231"/>
    <x v="9"/>
    <s v="CUST018"/>
    <x v="17"/>
    <s v="P002"/>
    <x v="5"/>
    <x v="0"/>
    <n v="5"/>
    <n v="699.99"/>
    <s v="Cash"/>
    <x v="3"/>
    <x v="0"/>
    <d v="2023-08-29T00:00:00"/>
    <x v="12"/>
  </r>
  <r>
    <s v="TRX0239"/>
    <x v="10"/>
    <s v="CUST012"/>
    <x v="18"/>
    <s v="P002"/>
    <x v="5"/>
    <x v="0"/>
    <n v="4"/>
    <n v="699.99"/>
    <s v="Cash"/>
    <x v="4"/>
    <x v="2"/>
    <d v="2021-08-01T00:00:00"/>
    <x v="13"/>
  </r>
  <r>
    <s v="TRX0204"/>
    <x v="11"/>
    <s v="CUST044"/>
    <x v="19"/>
    <s v="P009"/>
    <x v="0"/>
    <x v="0"/>
    <n v="4"/>
    <n v="249.99"/>
    <s v="PayPal"/>
    <x v="2"/>
    <x v="2"/>
    <d v="2021-09-29T00:00:00"/>
    <x v="14"/>
  </r>
  <r>
    <s v="TRX0242"/>
    <x v="12"/>
    <s v="CUST025"/>
    <x v="14"/>
    <s v="P007"/>
    <x v="6"/>
    <x v="2"/>
    <n v="4"/>
    <n v="299.99"/>
    <s v="Cash"/>
    <x v="3"/>
    <x v="1"/>
    <d v="2022-06-04T00:00:00"/>
    <x v="15"/>
  </r>
  <r>
    <s v="TRX0071"/>
    <x v="13"/>
    <s v="CUST036"/>
    <x v="20"/>
    <s v="P009"/>
    <x v="0"/>
    <x v="0"/>
    <n v="5"/>
    <n v="249.99"/>
    <s v="Credit Card"/>
    <x v="3"/>
    <x v="2"/>
    <d v="2021-11-25T00:00:00"/>
    <x v="16"/>
  </r>
  <r>
    <s v="TRX0040"/>
    <x v="14"/>
    <s v="CUST022"/>
    <x v="9"/>
    <s v="P007"/>
    <x v="6"/>
    <x v="2"/>
    <n v="5"/>
    <n v="299.99"/>
    <s v="PayPal"/>
    <x v="4"/>
    <x v="0"/>
    <d v="2023-08-30T00:00:00"/>
    <x v="17"/>
  </r>
  <r>
    <s v="TRX0235"/>
    <x v="14"/>
    <s v="CUST014"/>
    <x v="21"/>
    <s v="P004"/>
    <x v="7"/>
    <x v="1"/>
    <n v="3"/>
    <n v="79.989999999999995"/>
    <s v="PayPal"/>
    <x v="4"/>
    <x v="1"/>
    <d v="2023-03-27T00:00:00"/>
    <x v="18"/>
  </r>
  <r>
    <s v="TRX0004"/>
    <x v="14"/>
    <s v="CUST012"/>
    <x v="18"/>
    <s v="P010"/>
    <x v="8"/>
    <x v="0"/>
    <n v="5"/>
    <n v="89.99"/>
    <s v="Cash"/>
    <x v="2"/>
    <x v="1"/>
    <d v="2022-12-24T00:00:00"/>
    <x v="19"/>
  </r>
  <r>
    <s v="TRX0063"/>
    <x v="15"/>
    <s v="CUST030"/>
    <x v="22"/>
    <s v="P005"/>
    <x v="1"/>
    <x v="1"/>
    <n v="2"/>
    <n v="59.99"/>
    <s v="Debit Card"/>
    <x v="0"/>
    <x v="2"/>
    <d v="2023-10-15T00:00:00"/>
    <x v="3"/>
  </r>
  <r>
    <s v="TRX0241"/>
    <x v="16"/>
    <s v="CUST029"/>
    <x v="23"/>
    <s v="P005"/>
    <x v="1"/>
    <x v="1"/>
    <n v="4"/>
    <n v="59.99"/>
    <s v="Debit Card"/>
    <x v="4"/>
    <x v="2"/>
    <d v="2022-11-02T00:00:00"/>
    <x v="20"/>
  </r>
  <r>
    <s v="TRX0029"/>
    <x v="16"/>
    <s v="CUST017"/>
    <x v="6"/>
    <s v="P006"/>
    <x v="9"/>
    <x v="2"/>
    <n v="5"/>
    <n v="199.99"/>
    <s v="Cash"/>
    <x v="1"/>
    <x v="2"/>
    <d v="2021-08-04T00:00:00"/>
    <x v="21"/>
  </r>
  <r>
    <s v="TRX0194"/>
    <x v="17"/>
    <s v="CUST006"/>
    <x v="24"/>
    <s v="P008"/>
    <x v="2"/>
    <x v="2"/>
    <n v="2"/>
    <n v="149.99"/>
    <s v="Credit Card"/>
    <x v="3"/>
    <x v="0"/>
    <d v="2022-09-19T00:00:00"/>
    <x v="22"/>
  </r>
  <r>
    <s v="TRX0130"/>
    <x v="18"/>
    <s v="CUST002"/>
    <x v="25"/>
    <s v="P008"/>
    <x v="2"/>
    <x v="2"/>
    <n v="3"/>
    <n v="149.99"/>
    <s v="Credit Card"/>
    <x v="3"/>
    <x v="1"/>
    <d v="2023-05-22T00:00:00"/>
    <x v="6"/>
  </r>
  <r>
    <s v="TRX0041"/>
    <x v="19"/>
    <s v="CUST021"/>
    <x v="2"/>
    <s v="P001"/>
    <x v="4"/>
    <x v="0"/>
    <n v="1"/>
    <n v="899.99"/>
    <s v="Credit Card"/>
    <x v="3"/>
    <x v="1"/>
    <d v="2022-01-17T00:00:00"/>
    <x v="8"/>
  </r>
  <r>
    <s v="TRX0232"/>
    <x v="20"/>
    <s v="CUST012"/>
    <x v="18"/>
    <s v="P007"/>
    <x v="6"/>
    <x v="2"/>
    <n v="3"/>
    <n v="299.99"/>
    <s v="Credit Card"/>
    <x v="4"/>
    <x v="0"/>
    <d v="2022-09-20T00:00:00"/>
    <x v="23"/>
  </r>
  <r>
    <s v="TRX0021"/>
    <x v="21"/>
    <s v="CUST006"/>
    <x v="24"/>
    <s v="P004"/>
    <x v="7"/>
    <x v="1"/>
    <n v="3"/>
    <n v="79.989999999999995"/>
    <s v="Cash"/>
    <x v="1"/>
    <x v="0"/>
    <d v="2023-04-30T00:00:00"/>
    <x v="18"/>
  </r>
  <r>
    <s v="TRX0245"/>
    <x v="22"/>
    <s v="CUST031"/>
    <x v="26"/>
    <s v="P006"/>
    <x v="9"/>
    <x v="2"/>
    <n v="3"/>
    <n v="199.99"/>
    <s v="Credit Card"/>
    <x v="2"/>
    <x v="1"/>
    <d v="2024-01-01T00:00:00"/>
    <x v="24"/>
  </r>
  <r>
    <s v="TRX0015"/>
    <x v="23"/>
    <s v="CUST008"/>
    <x v="27"/>
    <s v="P002"/>
    <x v="5"/>
    <x v="0"/>
    <n v="5"/>
    <n v="699.99"/>
    <s v="PayPal"/>
    <x v="3"/>
    <x v="2"/>
    <d v="2021-07-30T00:00:00"/>
    <x v="12"/>
  </r>
  <r>
    <s v="TRX0202"/>
    <x v="24"/>
    <s v="CUST035"/>
    <x v="28"/>
    <s v="P010"/>
    <x v="8"/>
    <x v="0"/>
    <n v="3"/>
    <n v="89.99"/>
    <s v="PayPal"/>
    <x v="0"/>
    <x v="1"/>
    <d v="2023-07-13T00:00:00"/>
    <x v="25"/>
  </r>
  <r>
    <s v="TRX0042"/>
    <x v="25"/>
    <s v="CUST019"/>
    <x v="29"/>
    <s v="P004"/>
    <x v="7"/>
    <x v="1"/>
    <n v="1"/>
    <n v="79.989999999999995"/>
    <s v="Cash"/>
    <x v="2"/>
    <x v="2"/>
    <d v="2022-12-22T00:00:00"/>
    <x v="26"/>
  </r>
  <r>
    <s v="TRX0128"/>
    <x v="26"/>
    <s v="CUST040"/>
    <x v="30"/>
    <s v="P005"/>
    <x v="1"/>
    <x v="1"/>
    <n v="2"/>
    <n v="59.99"/>
    <s v="Cash"/>
    <x v="3"/>
    <x v="0"/>
    <d v="2024-04-08T00:00:00"/>
    <x v="3"/>
  </r>
  <r>
    <s v="TRX0117"/>
    <x v="26"/>
    <s v="CUST017"/>
    <x v="6"/>
    <s v="P010"/>
    <x v="8"/>
    <x v="0"/>
    <n v="1"/>
    <n v="89.99"/>
    <s v="Cash"/>
    <x v="2"/>
    <x v="0"/>
    <d v="2023-08-03T00:00:00"/>
    <x v="27"/>
  </r>
  <r>
    <s v="TRX0208"/>
    <x v="27"/>
    <s v="CUST004"/>
    <x v="31"/>
    <s v="P010"/>
    <x v="8"/>
    <x v="0"/>
    <n v="5"/>
    <n v="89.99"/>
    <s v="Credit Card"/>
    <x v="4"/>
    <x v="2"/>
    <d v="2022-01-26T00:00:00"/>
    <x v="19"/>
  </r>
  <r>
    <s v="TRX0234"/>
    <x v="28"/>
    <s v="CUST013"/>
    <x v="1"/>
    <s v="P009"/>
    <x v="0"/>
    <x v="0"/>
    <n v="5"/>
    <n v="249.99"/>
    <s v="Credit Card"/>
    <x v="4"/>
    <x v="2"/>
    <d v="2022-05-26T00:00:00"/>
    <x v="16"/>
  </r>
  <r>
    <s v="TRX0121"/>
    <x v="28"/>
    <s v="CUST028"/>
    <x v="32"/>
    <s v="P010"/>
    <x v="8"/>
    <x v="0"/>
    <n v="1"/>
    <n v="89.99"/>
    <s v="Credit Card"/>
    <x v="1"/>
    <x v="2"/>
    <d v="2022-01-21T00:00:00"/>
    <x v="27"/>
  </r>
  <r>
    <s v="TRX0220"/>
    <x v="29"/>
    <s v="CUST003"/>
    <x v="4"/>
    <s v="P008"/>
    <x v="2"/>
    <x v="2"/>
    <n v="2"/>
    <n v="149.99"/>
    <s v="Cash"/>
    <x v="4"/>
    <x v="1"/>
    <d v="2022-03-25T00:00:00"/>
    <x v="22"/>
  </r>
  <r>
    <s v="TRX0093"/>
    <x v="30"/>
    <s v="CUST050"/>
    <x v="33"/>
    <s v="P005"/>
    <x v="1"/>
    <x v="1"/>
    <n v="4"/>
    <n v="59.99"/>
    <s v="Cash"/>
    <x v="4"/>
    <x v="2"/>
    <d v="2021-08-27T00:00:00"/>
    <x v="20"/>
  </r>
  <r>
    <s v="TRX0088"/>
    <x v="31"/>
    <s v="CUST006"/>
    <x v="24"/>
    <s v="P010"/>
    <x v="8"/>
    <x v="0"/>
    <n v="5"/>
    <n v="89.99"/>
    <s v="Cash"/>
    <x v="0"/>
    <x v="1"/>
    <d v="2022-01-18T00:00:00"/>
    <x v="19"/>
  </r>
  <r>
    <s v="TRX0115"/>
    <x v="32"/>
    <s v="CUST012"/>
    <x v="18"/>
    <s v="P010"/>
    <x v="8"/>
    <x v="0"/>
    <n v="2"/>
    <n v="89.99"/>
    <s v="Credit Card"/>
    <x v="1"/>
    <x v="1"/>
    <d v="2021-10-02T00:00:00"/>
    <x v="28"/>
  </r>
  <r>
    <s v="TRX0154"/>
    <x v="32"/>
    <s v="CUST023"/>
    <x v="0"/>
    <s v="P001"/>
    <x v="4"/>
    <x v="0"/>
    <n v="5"/>
    <n v="899.99"/>
    <s v="Credit Card"/>
    <x v="1"/>
    <x v="2"/>
    <d v="2023-02-17T00:00:00"/>
    <x v="29"/>
  </r>
  <r>
    <s v="TRX0044"/>
    <x v="32"/>
    <s v="CUST029"/>
    <x v="23"/>
    <s v="P001"/>
    <x v="4"/>
    <x v="0"/>
    <n v="5"/>
    <n v="899.99"/>
    <s v="PayPal"/>
    <x v="4"/>
    <x v="1"/>
    <d v="2023-12-18T00:00:00"/>
    <x v="29"/>
  </r>
  <r>
    <s v="TRX0061"/>
    <x v="33"/>
    <s v="CUST028"/>
    <x v="32"/>
    <s v="P005"/>
    <x v="1"/>
    <x v="1"/>
    <n v="1"/>
    <n v="59.99"/>
    <s v="Debit Card"/>
    <x v="3"/>
    <x v="1"/>
    <d v="2023-09-21T00:00:00"/>
    <x v="30"/>
  </r>
  <r>
    <s v="TRX0150"/>
    <x v="33"/>
    <s v="CUST008"/>
    <x v="27"/>
    <s v="P007"/>
    <x v="6"/>
    <x v="2"/>
    <n v="2"/>
    <n v="299.99"/>
    <s v="Debit Card"/>
    <x v="4"/>
    <x v="2"/>
    <d v="2023-11-23T00:00:00"/>
    <x v="31"/>
  </r>
  <r>
    <s v="TRX0025"/>
    <x v="34"/>
    <s v="CUST049"/>
    <x v="34"/>
    <s v="P010"/>
    <x v="8"/>
    <x v="0"/>
    <n v="4"/>
    <n v="89.99"/>
    <s v="Debit Card"/>
    <x v="1"/>
    <x v="0"/>
    <d v="2023-12-21T00:00:00"/>
    <x v="32"/>
  </r>
  <r>
    <s v="TRX0078"/>
    <x v="35"/>
    <s v="CUST021"/>
    <x v="2"/>
    <s v="P004"/>
    <x v="7"/>
    <x v="1"/>
    <n v="1"/>
    <n v="79.989999999999995"/>
    <s v="PayPal"/>
    <x v="0"/>
    <x v="1"/>
    <d v="2024-03-01T00:00:00"/>
    <x v="26"/>
  </r>
  <r>
    <s v="TRX0007"/>
    <x v="35"/>
    <s v="CUST009"/>
    <x v="7"/>
    <s v="P010"/>
    <x v="8"/>
    <x v="0"/>
    <n v="2"/>
    <n v="89.99"/>
    <s v="Cash"/>
    <x v="3"/>
    <x v="0"/>
    <d v="2021-08-30T00:00:00"/>
    <x v="28"/>
  </r>
  <r>
    <s v="TRX0184"/>
    <x v="36"/>
    <s v="CUST046"/>
    <x v="3"/>
    <s v="P002"/>
    <x v="5"/>
    <x v="0"/>
    <n v="3"/>
    <n v="699.99"/>
    <s v="Credit Card"/>
    <x v="4"/>
    <x v="1"/>
    <d v="2023-06-25T00:00:00"/>
    <x v="7"/>
  </r>
  <r>
    <s v="TRX0104"/>
    <x v="36"/>
    <s v="CUST012"/>
    <x v="18"/>
    <s v="P001"/>
    <x v="4"/>
    <x v="0"/>
    <n v="4"/>
    <n v="899.99"/>
    <s v="Credit Card"/>
    <x v="4"/>
    <x v="1"/>
    <d v="2023-03-08T00:00:00"/>
    <x v="11"/>
  </r>
  <r>
    <s v="TRX0127"/>
    <x v="37"/>
    <s v="CUST030"/>
    <x v="22"/>
    <s v="P008"/>
    <x v="2"/>
    <x v="2"/>
    <n v="1"/>
    <n v="149.99"/>
    <s v="PayPal"/>
    <x v="4"/>
    <x v="0"/>
    <d v="2022-10-17T00:00:00"/>
    <x v="5"/>
  </r>
  <r>
    <s v="TRX0096"/>
    <x v="38"/>
    <s v="CUST002"/>
    <x v="25"/>
    <s v="P010"/>
    <x v="8"/>
    <x v="0"/>
    <n v="2"/>
    <n v="89.99"/>
    <s v="PayPal"/>
    <x v="0"/>
    <x v="1"/>
    <d v="2023-12-15T00:00:00"/>
    <x v="28"/>
  </r>
  <r>
    <s v="TRX0192"/>
    <x v="39"/>
    <s v="CUST017"/>
    <x v="6"/>
    <s v="P010"/>
    <x v="8"/>
    <x v="0"/>
    <n v="1"/>
    <n v="89.99"/>
    <s v="PayPal"/>
    <x v="3"/>
    <x v="2"/>
    <d v="2022-08-29T00:00:00"/>
    <x v="27"/>
  </r>
  <r>
    <s v="TRX0052"/>
    <x v="40"/>
    <s v="CUST022"/>
    <x v="9"/>
    <s v="P010"/>
    <x v="8"/>
    <x v="0"/>
    <n v="1"/>
    <n v="89.99"/>
    <s v="Cash"/>
    <x v="1"/>
    <x v="2"/>
    <d v="2022-02-19T00:00:00"/>
    <x v="27"/>
  </r>
  <r>
    <s v="TRX0070"/>
    <x v="40"/>
    <s v="CUST007"/>
    <x v="35"/>
    <s v="P004"/>
    <x v="7"/>
    <x v="1"/>
    <n v="5"/>
    <n v="79.989999999999995"/>
    <s v="Debit Card"/>
    <x v="0"/>
    <x v="0"/>
    <d v="2023-02-24T00:00:00"/>
    <x v="33"/>
  </r>
  <r>
    <s v="TRX0086"/>
    <x v="41"/>
    <s v="CUST020"/>
    <x v="36"/>
    <s v="P008"/>
    <x v="2"/>
    <x v="2"/>
    <n v="1"/>
    <n v="149.99"/>
    <s v="PayPal"/>
    <x v="2"/>
    <x v="0"/>
    <d v="2021-08-13T00:00:00"/>
    <x v="5"/>
  </r>
  <r>
    <s v="TRX0113"/>
    <x v="41"/>
    <s v="CUST003"/>
    <x v="4"/>
    <s v="P002"/>
    <x v="5"/>
    <x v="0"/>
    <n v="2"/>
    <n v="699.99"/>
    <s v="PayPal"/>
    <x v="4"/>
    <x v="1"/>
    <d v="2024-04-07T00:00:00"/>
    <x v="10"/>
  </r>
  <r>
    <s v="TRX0114"/>
    <x v="41"/>
    <s v="CUST018"/>
    <x v="17"/>
    <s v="P010"/>
    <x v="8"/>
    <x v="0"/>
    <n v="5"/>
    <n v="89.99"/>
    <s v="Debit Card"/>
    <x v="2"/>
    <x v="1"/>
    <d v="2023-08-23T00:00:00"/>
    <x v="19"/>
  </r>
  <r>
    <s v="TRX0136"/>
    <x v="42"/>
    <s v="CUST049"/>
    <x v="34"/>
    <s v="P005"/>
    <x v="1"/>
    <x v="1"/>
    <n v="4"/>
    <n v="59.99"/>
    <s v="Cash"/>
    <x v="1"/>
    <x v="2"/>
    <d v="2021-11-09T00:00:00"/>
    <x v="20"/>
  </r>
  <r>
    <s v="TRX0018"/>
    <x v="43"/>
    <s v="CUST013"/>
    <x v="1"/>
    <s v="P003"/>
    <x v="3"/>
    <x v="0"/>
    <n v="1"/>
    <n v="149.99"/>
    <s v="Cash"/>
    <x v="0"/>
    <x v="2"/>
    <d v="2022-12-14T00:00:00"/>
    <x v="5"/>
  </r>
  <r>
    <s v="TRX0141"/>
    <x v="43"/>
    <s v="CUST033"/>
    <x v="37"/>
    <s v="P007"/>
    <x v="6"/>
    <x v="2"/>
    <n v="1"/>
    <n v="299.99"/>
    <s v="Credit Card"/>
    <x v="2"/>
    <x v="1"/>
    <d v="2022-11-26T00:00:00"/>
    <x v="34"/>
  </r>
  <r>
    <s v="TRX0097"/>
    <x v="44"/>
    <s v="CUST033"/>
    <x v="37"/>
    <s v="P006"/>
    <x v="9"/>
    <x v="2"/>
    <n v="2"/>
    <n v="199.99"/>
    <s v="Cash"/>
    <x v="2"/>
    <x v="0"/>
    <d v="2021-12-11T00:00:00"/>
    <x v="35"/>
  </r>
  <r>
    <s v="TRX0169"/>
    <x v="45"/>
    <s v="CUST047"/>
    <x v="38"/>
    <s v="P005"/>
    <x v="1"/>
    <x v="1"/>
    <n v="3"/>
    <n v="59.99"/>
    <s v="Credit Card"/>
    <x v="3"/>
    <x v="0"/>
    <d v="2023-07-23T00:00:00"/>
    <x v="1"/>
  </r>
  <r>
    <s v="TRX0216"/>
    <x v="45"/>
    <s v="CUST041"/>
    <x v="10"/>
    <s v="P008"/>
    <x v="2"/>
    <x v="2"/>
    <n v="3"/>
    <n v="149.99"/>
    <s v="Cash"/>
    <x v="0"/>
    <x v="1"/>
    <d v="2023-09-30T00:00:00"/>
    <x v="6"/>
  </r>
  <r>
    <s v="TRX0131"/>
    <x v="46"/>
    <s v="CUST026"/>
    <x v="8"/>
    <s v="P006"/>
    <x v="9"/>
    <x v="2"/>
    <n v="3"/>
    <n v="199.99"/>
    <s v="Cash"/>
    <x v="2"/>
    <x v="1"/>
    <d v="2023-11-24T00:00:00"/>
    <x v="24"/>
  </r>
  <r>
    <s v="TRX0162"/>
    <x v="47"/>
    <s v="CUST040"/>
    <x v="30"/>
    <s v="P001"/>
    <x v="4"/>
    <x v="0"/>
    <n v="1"/>
    <n v="899.99"/>
    <s v="Cash"/>
    <x v="0"/>
    <x v="2"/>
    <d v="2023-09-10T00:00:00"/>
    <x v="8"/>
  </r>
  <r>
    <s v="TRX0244"/>
    <x v="48"/>
    <s v="CUST013"/>
    <x v="1"/>
    <s v="P001"/>
    <x v="4"/>
    <x v="0"/>
    <n v="5"/>
    <n v="899.99"/>
    <s v="Debit Card"/>
    <x v="1"/>
    <x v="2"/>
    <d v="2022-12-04T00:00:00"/>
    <x v="29"/>
  </r>
  <r>
    <s v="TRX0006"/>
    <x v="49"/>
    <s v="CUST007"/>
    <x v="35"/>
    <s v="P005"/>
    <x v="1"/>
    <x v="1"/>
    <n v="2"/>
    <n v="59.99"/>
    <s v="Cash"/>
    <x v="2"/>
    <x v="2"/>
    <d v="2023-08-14T00:00:00"/>
    <x v="3"/>
  </r>
  <r>
    <s v="TRX0215"/>
    <x v="49"/>
    <s v="CUST047"/>
    <x v="38"/>
    <s v="P009"/>
    <x v="0"/>
    <x v="0"/>
    <n v="4"/>
    <n v="249.99"/>
    <s v="Debit Card"/>
    <x v="0"/>
    <x v="2"/>
    <d v="2023-07-20T00:00:00"/>
    <x v="14"/>
  </r>
  <r>
    <s v="TRX0080"/>
    <x v="50"/>
    <s v="CUST018"/>
    <x v="17"/>
    <s v="P009"/>
    <x v="0"/>
    <x v="0"/>
    <n v="2"/>
    <n v="249.99"/>
    <s v="Cash"/>
    <x v="2"/>
    <x v="1"/>
    <d v="2023-08-26T00:00:00"/>
    <x v="36"/>
  </r>
  <r>
    <s v="TRX0228"/>
    <x v="50"/>
    <s v="CUST019"/>
    <x v="29"/>
    <s v="P007"/>
    <x v="6"/>
    <x v="2"/>
    <n v="1"/>
    <n v="299.99"/>
    <s v="Cash"/>
    <x v="1"/>
    <x v="0"/>
    <d v="2023-02-25T00:00:00"/>
    <x v="34"/>
  </r>
  <r>
    <s v="TRX0157"/>
    <x v="51"/>
    <s v="CUST025"/>
    <x v="14"/>
    <s v="P010"/>
    <x v="8"/>
    <x v="0"/>
    <n v="2"/>
    <n v="89.99"/>
    <s v="PayPal"/>
    <x v="1"/>
    <x v="0"/>
    <d v="2023-02-19T00:00:00"/>
    <x v="28"/>
  </r>
  <r>
    <s v="TRX0002"/>
    <x v="51"/>
    <s v="CUST019"/>
    <x v="29"/>
    <s v="P007"/>
    <x v="6"/>
    <x v="2"/>
    <n v="3"/>
    <n v="299.99"/>
    <s v="Cash"/>
    <x v="0"/>
    <x v="0"/>
    <d v="2022-06-20T00:00:00"/>
    <x v="23"/>
  </r>
  <r>
    <s v="TRX0217"/>
    <x v="52"/>
    <s v="CUST025"/>
    <x v="14"/>
    <s v="P002"/>
    <x v="5"/>
    <x v="0"/>
    <n v="2"/>
    <n v="699.99"/>
    <s v="Credit Card"/>
    <x v="2"/>
    <x v="1"/>
    <d v="2023-03-14T00:00:00"/>
    <x v="10"/>
  </r>
  <r>
    <s v="TRX0249"/>
    <x v="53"/>
    <s v="CUST030"/>
    <x v="22"/>
    <s v="P001"/>
    <x v="4"/>
    <x v="0"/>
    <n v="4"/>
    <n v="899.99"/>
    <s v="Debit Card"/>
    <x v="1"/>
    <x v="2"/>
    <d v="2021-11-23T00:00:00"/>
    <x v="11"/>
  </r>
  <r>
    <s v="TRX0065"/>
    <x v="54"/>
    <s v="CUST016"/>
    <x v="39"/>
    <s v="P008"/>
    <x v="2"/>
    <x v="2"/>
    <n v="2"/>
    <n v="149.99"/>
    <s v="Credit Card"/>
    <x v="3"/>
    <x v="0"/>
    <d v="2021-12-12T00:00:00"/>
    <x v="22"/>
  </r>
  <r>
    <s v="TRX0176"/>
    <x v="55"/>
    <s v="CUST044"/>
    <x v="19"/>
    <s v="P008"/>
    <x v="2"/>
    <x v="2"/>
    <n v="2"/>
    <n v="149.99"/>
    <s v="Debit Card"/>
    <x v="4"/>
    <x v="2"/>
    <d v="2022-04-16T00:00:00"/>
    <x v="22"/>
  </r>
  <r>
    <s v="TRX0101"/>
    <x v="56"/>
    <s v="CUST010"/>
    <x v="15"/>
    <s v="P010"/>
    <x v="8"/>
    <x v="0"/>
    <n v="1"/>
    <n v="89.99"/>
    <s v="Credit Card"/>
    <x v="2"/>
    <x v="2"/>
    <d v="2024-04-11T00:00:00"/>
    <x v="27"/>
  </r>
  <r>
    <s v="TRX0205"/>
    <x v="57"/>
    <s v="CUST025"/>
    <x v="14"/>
    <s v="P007"/>
    <x v="6"/>
    <x v="2"/>
    <n v="5"/>
    <n v="299.99"/>
    <s v="Credit Card"/>
    <x v="2"/>
    <x v="0"/>
    <d v="2023-02-08T00:00:00"/>
    <x v="17"/>
  </r>
  <r>
    <s v="TRX0020"/>
    <x v="58"/>
    <s v="CUST007"/>
    <x v="35"/>
    <s v="P003"/>
    <x v="3"/>
    <x v="0"/>
    <n v="4"/>
    <n v="149.99"/>
    <s v="Debit Card"/>
    <x v="1"/>
    <x v="1"/>
    <d v="2022-09-16T00:00:00"/>
    <x v="9"/>
  </r>
  <r>
    <s v="TRX0075"/>
    <x v="58"/>
    <s v="CUST020"/>
    <x v="36"/>
    <s v="P009"/>
    <x v="0"/>
    <x v="0"/>
    <n v="5"/>
    <n v="249.99"/>
    <s v="PayPal"/>
    <x v="4"/>
    <x v="1"/>
    <d v="2022-08-09T00:00:00"/>
    <x v="16"/>
  </r>
  <r>
    <s v="TRX0098"/>
    <x v="58"/>
    <s v="CUST026"/>
    <x v="8"/>
    <s v="P009"/>
    <x v="0"/>
    <x v="0"/>
    <n v="3"/>
    <n v="249.99"/>
    <s v="PayPal"/>
    <x v="2"/>
    <x v="1"/>
    <d v="2021-09-26T00:00:00"/>
    <x v="0"/>
  </r>
  <r>
    <s v="TRX0247"/>
    <x v="58"/>
    <s v="CUST046"/>
    <x v="3"/>
    <s v="P006"/>
    <x v="9"/>
    <x v="2"/>
    <n v="4"/>
    <n v="199.99"/>
    <s v="Cash"/>
    <x v="2"/>
    <x v="2"/>
    <d v="2021-09-19T00:00:00"/>
    <x v="37"/>
  </r>
  <r>
    <s v="TRX0027"/>
    <x v="59"/>
    <s v="CUST028"/>
    <x v="32"/>
    <s v="P006"/>
    <x v="9"/>
    <x v="2"/>
    <n v="5"/>
    <n v="199.99"/>
    <s v="Cash"/>
    <x v="2"/>
    <x v="1"/>
    <d v="2023-03-06T00:00:00"/>
    <x v="21"/>
  </r>
  <r>
    <s v="TRX0140"/>
    <x v="60"/>
    <s v="CUST025"/>
    <x v="14"/>
    <s v="P010"/>
    <x v="8"/>
    <x v="0"/>
    <n v="2"/>
    <n v="89.99"/>
    <s v="Cash"/>
    <x v="4"/>
    <x v="1"/>
    <d v="2023-02-15T00:00:00"/>
    <x v="28"/>
  </r>
  <r>
    <s v="TRX0132"/>
    <x v="61"/>
    <s v="CUST047"/>
    <x v="38"/>
    <s v="P001"/>
    <x v="4"/>
    <x v="0"/>
    <n v="5"/>
    <n v="899.99"/>
    <s v="Debit Card"/>
    <x v="4"/>
    <x v="0"/>
    <d v="2021-11-26T00:00:00"/>
    <x v="29"/>
  </r>
  <r>
    <s v="TRX0031"/>
    <x v="61"/>
    <s v="CUST036"/>
    <x v="20"/>
    <s v="P003"/>
    <x v="3"/>
    <x v="0"/>
    <n v="3"/>
    <n v="149.99"/>
    <s v="PayPal"/>
    <x v="4"/>
    <x v="0"/>
    <d v="2022-01-13T00:00:00"/>
    <x v="6"/>
  </r>
  <r>
    <s v="TRX0236"/>
    <x v="62"/>
    <s v="CUST044"/>
    <x v="19"/>
    <s v="P008"/>
    <x v="2"/>
    <x v="2"/>
    <n v="5"/>
    <n v="149.99"/>
    <s v="Credit Card"/>
    <x v="0"/>
    <x v="0"/>
    <d v="2024-01-19T00:00:00"/>
    <x v="2"/>
  </r>
  <r>
    <s v="TRX0001"/>
    <x v="63"/>
    <s v="CUST039"/>
    <x v="40"/>
    <s v="P004"/>
    <x v="7"/>
    <x v="1"/>
    <n v="3"/>
    <n v="79.989999999999995"/>
    <s v="Cash"/>
    <x v="0"/>
    <x v="1"/>
    <d v="2022-08-06T00:00:00"/>
    <x v="18"/>
  </r>
  <r>
    <s v="TRX0037"/>
    <x v="63"/>
    <s v="CUST035"/>
    <x v="28"/>
    <s v="P009"/>
    <x v="0"/>
    <x v="0"/>
    <n v="2"/>
    <n v="249.99"/>
    <s v="Cash"/>
    <x v="1"/>
    <x v="2"/>
    <d v="2022-01-11T00:00:00"/>
    <x v="36"/>
  </r>
  <r>
    <s v="TRX0058"/>
    <x v="64"/>
    <s v="CUST047"/>
    <x v="38"/>
    <s v="P002"/>
    <x v="5"/>
    <x v="0"/>
    <n v="1"/>
    <n v="699.99"/>
    <s v="Cash"/>
    <x v="0"/>
    <x v="1"/>
    <d v="2021-10-28T00:00:00"/>
    <x v="38"/>
  </r>
  <r>
    <s v="TRX0170"/>
    <x v="64"/>
    <s v="CUST034"/>
    <x v="41"/>
    <s v="P003"/>
    <x v="3"/>
    <x v="0"/>
    <n v="3"/>
    <n v="149.99"/>
    <s v="Cash"/>
    <x v="3"/>
    <x v="1"/>
    <d v="2023-10-13T00:00:00"/>
    <x v="6"/>
  </r>
  <r>
    <s v="TRX0248"/>
    <x v="65"/>
    <s v="CUST032"/>
    <x v="42"/>
    <s v="P002"/>
    <x v="5"/>
    <x v="0"/>
    <n v="2"/>
    <n v="699.99"/>
    <s v="Credit Card"/>
    <x v="2"/>
    <x v="1"/>
    <d v="2021-08-13T00:00:00"/>
    <x v="10"/>
  </r>
  <r>
    <s v="TRX0099"/>
    <x v="66"/>
    <s v="CUST034"/>
    <x v="41"/>
    <s v="P009"/>
    <x v="0"/>
    <x v="0"/>
    <n v="1"/>
    <n v="249.99"/>
    <s v="Credit Card"/>
    <x v="3"/>
    <x v="1"/>
    <d v="2022-05-04T00:00:00"/>
    <x v="39"/>
  </r>
  <r>
    <s v="TRX0074"/>
    <x v="66"/>
    <s v="CUST023"/>
    <x v="0"/>
    <s v="P009"/>
    <x v="0"/>
    <x v="0"/>
    <n v="1"/>
    <n v="249.99"/>
    <s v="Debit Card"/>
    <x v="2"/>
    <x v="1"/>
    <d v="2024-02-10T00:00:00"/>
    <x v="39"/>
  </r>
  <r>
    <s v="TRX0225"/>
    <x v="67"/>
    <s v="CUST039"/>
    <x v="40"/>
    <s v="P002"/>
    <x v="5"/>
    <x v="0"/>
    <n v="2"/>
    <n v="699.99"/>
    <s v="Debit Card"/>
    <x v="0"/>
    <x v="1"/>
    <d v="2022-11-05T00:00:00"/>
    <x v="10"/>
  </r>
  <r>
    <s v="TRX0100"/>
    <x v="68"/>
    <s v="CUST031"/>
    <x v="26"/>
    <s v="P005"/>
    <x v="1"/>
    <x v="1"/>
    <n v="3"/>
    <n v="59.99"/>
    <s v="Credit Card"/>
    <x v="0"/>
    <x v="1"/>
    <d v="2022-06-05T00:00:00"/>
    <x v="1"/>
  </r>
  <r>
    <s v="TRX0142"/>
    <x v="69"/>
    <s v="CUST002"/>
    <x v="25"/>
    <s v="P005"/>
    <x v="1"/>
    <x v="1"/>
    <n v="3"/>
    <n v="59.99"/>
    <s v="PayPal"/>
    <x v="4"/>
    <x v="2"/>
    <d v="2022-07-06T00:00:00"/>
    <x v="1"/>
  </r>
  <r>
    <s v="TRX0112"/>
    <x v="69"/>
    <s v="CUST008"/>
    <x v="27"/>
    <s v="P004"/>
    <x v="7"/>
    <x v="1"/>
    <n v="4"/>
    <n v="79.989999999999995"/>
    <s v="Cash"/>
    <x v="2"/>
    <x v="0"/>
    <d v="2021-11-30T00:00:00"/>
    <x v="40"/>
  </r>
  <r>
    <s v="TRX0161"/>
    <x v="70"/>
    <s v="CUST017"/>
    <x v="6"/>
    <s v="P004"/>
    <x v="7"/>
    <x v="1"/>
    <n v="1"/>
    <n v="79.989999999999995"/>
    <s v="Cash"/>
    <x v="3"/>
    <x v="0"/>
    <d v="2022-05-12T00:00:00"/>
    <x v="26"/>
  </r>
  <r>
    <s v="TRX0108"/>
    <x v="71"/>
    <s v="CUST024"/>
    <x v="5"/>
    <s v="P007"/>
    <x v="6"/>
    <x v="2"/>
    <n v="3"/>
    <n v="299.99"/>
    <s v="Credit Card"/>
    <x v="0"/>
    <x v="1"/>
    <d v="2021-10-25T00:00:00"/>
    <x v="23"/>
  </r>
  <r>
    <s v="TRX0211"/>
    <x v="72"/>
    <s v="CUST046"/>
    <x v="3"/>
    <s v="P010"/>
    <x v="8"/>
    <x v="0"/>
    <n v="2"/>
    <n v="89.99"/>
    <s v="Credit Card"/>
    <x v="1"/>
    <x v="1"/>
    <d v="2022-03-21T00:00:00"/>
    <x v="28"/>
  </r>
  <r>
    <s v="TRX0005"/>
    <x v="73"/>
    <s v="CUST042"/>
    <x v="43"/>
    <s v="P003"/>
    <x v="3"/>
    <x v="0"/>
    <n v="4"/>
    <n v="149.99"/>
    <s v="Cash"/>
    <x v="2"/>
    <x v="0"/>
    <d v="2022-12-14T00:00:00"/>
    <x v="9"/>
  </r>
  <r>
    <s v="TRX0195"/>
    <x v="74"/>
    <s v="CUST026"/>
    <x v="8"/>
    <s v="P009"/>
    <x v="0"/>
    <x v="0"/>
    <n v="2"/>
    <n v="249.99"/>
    <s v="PayPal"/>
    <x v="1"/>
    <x v="0"/>
    <d v="2023-03-08T00:00:00"/>
    <x v="36"/>
  </r>
  <r>
    <s v="TRX0054"/>
    <x v="74"/>
    <s v="CUST004"/>
    <x v="31"/>
    <s v="P006"/>
    <x v="9"/>
    <x v="2"/>
    <n v="4"/>
    <n v="199.99"/>
    <s v="Debit Card"/>
    <x v="4"/>
    <x v="0"/>
    <d v="2021-09-19T00:00:00"/>
    <x v="37"/>
  </r>
  <r>
    <s v="TRX0077"/>
    <x v="75"/>
    <s v="CUST019"/>
    <x v="29"/>
    <s v="P010"/>
    <x v="8"/>
    <x v="0"/>
    <n v="5"/>
    <n v="89.99"/>
    <s v="Credit Card"/>
    <x v="4"/>
    <x v="1"/>
    <d v="2021-09-07T00:00:00"/>
    <x v="19"/>
  </r>
  <r>
    <s v="TRX0111"/>
    <x v="75"/>
    <s v="CUST011"/>
    <x v="44"/>
    <s v="P003"/>
    <x v="3"/>
    <x v="0"/>
    <n v="1"/>
    <n v="149.99"/>
    <s v="PayPal"/>
    <x v="4"/>
    <x v="2"/>
    <d v="2021-10-13T00:00:00"/>
    <x v="5"/>
  </r>
  <r>
    <s v="TRX0123"/>
    <x v="75"/>
    <s v="CUST041"/>
    <x v="10"/>
    <s v="P002"/>
    <x v="5"/>
    <x v="0"/>
    <n v="4"/>
    <n v="699.99"/>
    <s v="PayPal"/>
    <x v="1"/>
    <x v="0"/>
    <d v="2022-02-26T00:00:00"/>
    <x v="13"/>
  </r>
  <r>
    <s v="TRX0177"/>
    <x v="76"/>
    <s v="CUST032"/>
    <x v="42"/>
    <s v="P001"/>
    <x v="4"/>
    <x v="0"/>
    <n v="3"/>
    <n v="899.99"/>
    <s v="Credit Card"/>
    <x v="2"/>
    <x v="2"/>
    <d v="2023-08-19T00:00:00"/>
    <x v="4"/>
  </r>
  <r>
    <s v="TRX0119"/>
    <x v="77"/>
    <s v="CUST014"/>
    <x v="21"/>
    <s v="P008"/>
    <x v="2"/>
    <x v="2"/>
    <n v="3"/>
    <n v="149.99"/>
    <s v="PayPal"/>
    <x v="4"/>
    <x v="0"/>
    <d v="2022-11-21T00:00:00"/>
    <x v="6"/>
  </r>
  <r>
    <s v="TRX0181"/>
    <x v="78"/>
    <s v="CUST012"/>
    <x v="18"/>
    <s v="P007"/>
    <x v="6"/>
    <x v="2"/>
    <n v="2"/>
    <n v="299.99"/>
    <s v="Debit Card"/>
    <x v="0"/>
    <x v="0"/>
    <d v="2022-01-08T00:00:00"/>
    <x v="31"/>
  </r>
  <r>
    <s v="TRX0129"/>
    <x v="79"/>
    <s v="CUST015"/>
    <x v="45"/>
    <s v="P006"/>
    <x v="9"/>
    <x v="2"/>
    <n v="1"/>
    <n v="199.99"/>
    <s v="Debit Card"/>
    <x v="4"/>
    <x v="2"/>
    <d v="2023-01-27T00:00:00"/>
    <x v="41"/>
  </r>
  <r>
    <s v="TRX0174"/>
    <x v="80"/>
    <s v="CUST003"/>
    <x v="4"/>
    <s v="P007"/>
    <x v="6"/>
    <x v="2"/>
    <n v="4"/>
    <n v="299.99"/>
    <s v="Cash"/>
    <x v="0"/>
    <x v="1"/>
    <d v="2021-09-21T00:00:00"/>
    <x v="15"/>
  </r>
  <r>
    <s v="TRX0146"/>
    <x v="81"/>
    <s v="CUST010"/>
    <x v="15"/>
    <s v="P005"/>
    <x v="1"/>
    <x v="1"/>
    <n v="2"/>
    <n v="59.99"/>
    <s v="Credit Card"/>
    <x v="0"/>
    <x v="0"/>
    <d v="2022-01-18T00:00:00"/>
    <x v="3"/>
  </r>
  <r>
    <s v="TRX0203"/>
    <x v="81"/>
    <s v="CUST032"/>
    <x v="42"/>
    <s v="P003"/>
    <x v="3"/>
    <x v="0"/>
    <n v="4"/>
    <n v="149.99"/>
    <s v="Credit Card"/>
    <x v="2"/>
    <x v="1"/>
    <d v="2023-05-30T00:00:00"/>
    <x v="9"/>
  </r>
  <r>
    <s v="TRX0055"/>
    <x v="82"/>
    <s v="CUST016"/>
    <x v="39"/>
    <s v="P002"/>
    <x v="5"/>
    <x v="0"/>
    <n v="2"/>
    <n v="699.99"/>
    <s v="Debit Card"/>
    <x v="4"/>
    <x v="1"/>
    <d v="2023-12-14T00:00:00"/>
    <x v="10"/>
  </r>
  <r>
    <s v="TRX0218"/>
    <x v="82"/>
    <s v="CUST034"/>
    <x v="41"/>
    <s v="P008"/>
    <x v="2"/>
    <x v="2"/>
    <n v="3"/>
    <n v="149.99"/>
    <s v="Credit Card"/>
    <x v="1"/>
    <x v="2"/>
    <d v="2023-01-14T00:00:00"/>
    <x v="6"/>
  </r>
  <r>
    <s v="TRX0085"/>
    <x v="83"/>
    <s v="CUST019"/>
    <x v="29"/>
    <s v="P007"/>
    <x v="6"/>
    <x v="2"/>
    <n v="3"/>
    <n v="299.99"/>
    <s v="Credit Card"/>
    <x v="0"/>
    <x v="2"/>
    <d v="2023-09-05T00:00:00"/>
    <x v="23"/>
  </r>
  <r>
    <s v="TRX0158"/>
    <x v="84"/>
    <s v="CUST027"/>
    <x v="13"/>
    <s v="P001"/>
    <x v="4"/>
    <x v="0"/>
    <n v="3"/>
    <n v="899.99"/>
    <s v="PayPal"/>
    <x v="3"/>
    <x v="0"/>
    <d v="2023-10-16T00:00:00"/>
    <x v="4"/>
  </r>
  <r>
    <s v="TRX0173"/>
    <x v="85"/>
    <s v="CUST018"/>
    <x v="17"/>
    <s v="P002"/>
    <x v="5"/>
    <x v="0"/>
    <n v="5"/>
    <n v="699.99"/>
    <s v="Cash"/>
    <x v="4"/>
    <x v="2"/>
    <d v="2023-03-23T00:00:00"/>
    <x v="12"/>
  </r>
  <r>
    <s v="TRX0034"/>
    <x v="85"/>
    <s v="CUST049"/>
    <x v="34"/>
    <s v="P002"/>
    <x v="5"/>
    <x v="0"/>
    <n v="4"/>
    <n v="699.99"/>
    <s v="Credit Card"/>
    <x v="0"/>
    <x v="0"/>
    <d v="2024-04-03T00:00:00"/>
    <x v="13"/>
  </r>
  <r>
    <s v="TRX0189"/>
    <x v="85"/>
    <s v="CUST040"/>
    <x v="30"/>
    <s v="P001"/>
    <x v="4"/>
    <x v="0"/>
    <n v="1"/>
    <n v="899.99"/>
    <s v="Credit Card"/>
    <x v="4"/>
    <x v="2"/>
    <d v="2024-03-18T00:00:00"/>
    <x v="8"/>
  </r>
  <r>
    <s v="TRX0190"/>
    <x v="86"/>
    <s v="CUST039"/>
    <x v="40"/>
    <s v="P003"/>
    <x v="3"/>
    <x v="0"/>
    <n v="2"/>
    <n v="149.99"/>
    <s v="Credit Card"/>
    <x v="3"/>
    <x v="0"/>
    <d v="2022-12-21T00:00:00"/>
    <x v="22"/>
  </r>
  <r>
    <s v="TRX0079"/>
    <x v="87"/>
    <s v="CUST039"/>
    <x v="40"/>
    <s v="P010"/>
    <x v="8"/>
    <x v="0"/>
    <n v="3"/>
    <n v="89.99"/>
    <s v="PayPal"/>
    <x v="0"/>
    <x v="0"/>
    <d v="2021-12-21T00:00:00"/>
    <x v="25"/>
  </r>
  <r>
    <s v="TRX0095"/>
    <x v="88"/>
    <s v="CUST046"/>
    <x v="3"/>
    <s v="P003"/>
    <x v="3"/>
    <x v="0"/>
    <n v="2"/>
    <n v="149.99"/>
    <s v="PayPal"/>
    <x v="0"/>
    <x v="0"/>
    <d v="2021-10-04T00:00:00"/>
    <x v="22"/>
  </r>
  <r>
    <s v="TRX0009"/>
    <x v="88"/>
    <s v="CUST004"/>
    <x v="31"/>
    <s v="P002"/>
    <x v="5"/>
    <x v="0"/>
    <n v="2"/>
    <n v="699.99"/>
    <s v="Cash"/>
    <x v="0"/>
    <x v="0"/>
    <d v="2023-03-07T00:00:00"/>
    <x v="10"/>
  </r>
  <r>
    <s v="TRX0167"/>
    <x v="89"/>
    <s v="CUST028"/>
    <x v="32"/>
    <s v="P002"/>
    <x v="5"/>
    <x v="0"/>
    <n v="5"/>
    <n v="699.99"/>
    <s v="Cash"/>
    <x v="2"/>
    <x v="1"/>
    <d v="2022-03-15T00:00:00"/>
    <x v="12"/>
  </r>
  <r>
    <s v="TRX0153"/>
    <x v="90"/>
    <s v="CUST049"/>
    <x v="34"/>
    <s v="P010"/>
    <x v="8"/>
    <x v="0"/>
    <n v="3"/>
    <n v="89.99"/>
    <s v="Credit Card"/>
    <x v="2"/>
    <x v="2"/>
    <d v="2022-02-23T00:00:00"/>
    <x v="25"/>
  </r>
  <r>
    <s v="TRX0057"/>
    <x v="91"/>
    <s v="CUST023"/>
    <x v="0"/>
    <s v="P009"/>
    <x v="0"/>
    <x v="0"/>
    <n v="5"/>
    <n v="249.99"/>
    <s v="Credit Card"/>
    <x v="1"/>
    <x v="2"/>
    <d v="2022-11-16T00:00:00"/>
    <x v="16"/>
  </r>
  <r>
    <s v="TRX0017"/>
    <x v="92"/>
    <s v="CUST026"/>
    <x v="8"/>
    <s v="P007"/>
    <x v="6"/>
    <x v="2"/>
    <n v="3"/>
    <n v="299.99"/>
    <s v="Credit Card"/>
    <x v="1"/>
    <x v="2"/>
    <d v="2021-11-02T00:00:00"/>
    <x v="23"/>
  </r>
  <r>
    <s v="TRX0060"/>
    <x v="93"/>
    <s v="CUST012"/>
    <x v="18"/>
    <s v="P010"/>
    <x v="8"/>
    <x v="0"/>
    <n v="3"/>
    <n v="89.99"/>
    <s v="Credit Card"/>
    <x v="2"/>
    <x v="1"/>
    <d v="2021-08-12T00:00:00"/>
    <x v="25"/>
  </r>
  <r>
    <s v="TRX0109"/>
    <x v="94"/>
    <s v="CUST010"/>
    <x v="15"/>
    <s v="P008"/>
    <x v="2"/>
    <x v="2"/>
    <n v="2"/>
    <n v="149.99"/>
    <s v="Credit Card"/>
    <x v="3"/>
    <x v="1"/>
    <d v="2022-10-14T00:00:00"/>
    <x v="22"/>
  </r>
  <r>
    <s v="TRX0090"/>
    <x v="95"/>
    <s v="CUST020"/>
    <x v="36"/>
    <s v="P009"/>
    <x v="0"/>
    <x v="0"/>
    <n v="1"/>
    <n v="249.99"/>
    <s v="Credit Card"/>
    <x v="2"/>
    <x v="1"/>
    <d v="2022-09-24T00:00:00"/>
    <x v="39"/>
  </r>
  <r>
    <s v="TRX0035"/>
    <x v="96"/>
    <s v="CUST041"/>
    <x v="10"/>
    <s v="P003"/>
    <x v="3"/>
    <x v="0"/>
    <n v="3"/>
    <n v="149.99"/>
    <s v="Cash"/>
    <x v="2"/>
    <x v="0"/>
    <d v="2022-07-27T00:00:00"/>
    <x v="6"/>
  </r>
  <r>
    <s v="TRX0172"/>
    <x v="96"/>
    <s v="CUST023"/>
    <x v="0"/>
    <s v="P005"/>
    <x v="1"/>
    <x v="1"/>
    <n v="5"/>
    <n v="59.99"/>
    <s v="PayPal"/>
    <x v="3"/>
    <x v="1"/>
    <d v="2022-05-13T00:00:00"/>
    <x v="42"/>
  </r>
  <r>
    <s v="TRX0076"/>
    <x v="96"/>
    <s v="CUST012"/>
    <x v="18"/>
    <s v="P009"/>
    <x v="0"/>
    <x v="0"/>
    <n v="4"/>
    <n v="249.99"/>
    <s v="Credit Card"/>
    <x v="3"/>
    <x v="2"/>
    <d v="2022-04-08T00:00:00"/>
    <x v="14"/>
  </r>
  <r>
    <s v="TRX0210"/>
    <x v="97"/>
    <s v="CUST004"/>
    <x v="31"/>
    <s v="P008"/>
    <x v="2"/>
    <x v="2"/>
    <n v="5"/>
    <n v="149.99"/>
    <s v="PayPal"/>
    <x v="0"/>
    <x v="0"/>
    <d v="2022-12-06T00:00:00"/>
    <x v="2"/>
  </r>
  <r>
    <s v="TRX0149"/>
    <x v="97"/>
    <s v="CUST027"/>
    <x v="13"/>
    <s v="P005"/>
    <x v="1"/>
    <x v="1"/>
    <n v="3"/>
    <n v="59.99"/>
    <s v="Debit Card"/>
    <x v="1"/>
    <x v="2"/>
    <d v="2023-11-30T00:00:00"/>
    <x v="1"/>
  </r>
  <r>
    <s v="TRX0073"/>
    <x v="98"/>
    <s v="CUST032"/>
    <x v="42"/>
    <s v="P008"/>
    <x v="2"/>
    <x v="2"/>
    <n v="5"/>
    <n v="149.99"/>
    <s v="Cash"/>
    <x v="2"/>
    <x v="0"/>
    <d v="2022-11-04T00:00:00"/>
    <x v="2"/>
  </r>
  <r>
    <s v="TRX0033"/>
    <x v="98"/>
    <s v="CUST025"/>
    <x v="14"/>
    <s v="P002"/>
    <x v="5"/>
    <x v="0"/>
    <n v="2"/>
    <n v="699.99"/>
    <s v="PayPal"/>
    <x v="3"/>
    <x v="2"/>
    <d v="2022-07-28T00:00:00"/>
    <x v="10"/>
  </r>
  <r>
    <s v="TRX0160"/>
    <x v="99"/>
    <s v="CUST029"/>
    <x v="23"/>
    <s v="P006"/>
    <x v="9"/>
    <x v="2"/>
    <n v="4"/>
    <n v="199.99"/>
    <s v="Debit Card"/>
    <x v="0"/>
    <x v="1"/>
    <d v="2021-08-19T00:00:00"/>
    <x v="37"/>
  </r>
  <r>
    <s v="TRX0145"/>
    <x v="100"/>
    <s v="CUST033"/>
    <x v="37"/>
    <s v="P005"/>
    <x v="1"/>
    <x v="1"/>
    <n v="1"/>
    <n v="59.99"/>
    <s v="Debit Card"/>
    <x v="3"/>
    <x v="2"/>
    <d v="2021-12-30T00:00:00"/>
    <x v="30"/>
  </r>
  <r>
    <s v="TRX0148"/>
    <x v="100"/>
    <s v="CUST004"/>
    <x v="31"/>
    <s v="P002"/>
    <x v="5"/>
    <x v="0"/>
    <n v="3"/>
    <n v="699.99"/>
    <s v="PayPal"/>
    <x v="3"/>
    <x v="2"/>
    <d v="2022-01-22T00:00:00"/>
    <x v="7"/>
  </r>
  <r>
    <s v="TRX0012"/>
    <x v="101"/>
    <s v="CUST045"/>
    <x v="46"/>
    <s v="P009"/>
    <x v="0"/>
    <x v="0"/>
    <n v="5"/>
    <n v="249.99"/>
    <s v="Credit Card"/>
    <x v="2"/>
    <x v="0"/>
    <d v="2022-11-08T00:00:00"/>
    <x v="16"/>
  </r>
  <r>
    <s v="TRX0206"/>
    <x v="102"/>
    <s v="CUST014"/>
    <x v="21"/>
    <s v="P008"/>
    <x v="2"/>
    <x v="2"/>
    <n v="2"/>
    <n v="149.99"/>
    <s v="Cash"/>
    <x v="1"/>
    <x v="2"/>
    <d v="2023-06-24T00:00:00"/>
    <x v="22"/>
  </r>
  <r>
    <s v="TRX0045"/>
    <x v="103"/>
    <s v="CUST021"/>
    <x v="2"/>
    <s v="P007"/>
    <x v="6"/>
    <x v="2"/>
    <n v="3"/>
    <n v="299.99"/>
    <s v="Cash"/>
    <x v="1"/>
    <x v="1"/>
    <d v="2022-04-08T00:00:00"/>
    <x v="23"/>
  </r>
  <r>
    <s v="TRX0094"/>
    <x v="103"/>
    <s v="CUST017"/>
    <x v="6"/>
    <s v="P009"/>
    <x v="0"/>
    <x v="0"/>
    <n v="5"/>
    <n v="249.99"/>
    <s v="Cash"/>
    <x v="0"/>
    <x v="1"/>
    <d v="2021-10-16T00:00:00"/>
    <x v="16"/>
  </r>
  <r>
    <s v="TRX0133"/>
    <x v="103"/>
    <s v="CUST013"/>
    <x v="1"/>
    <s v="P003"/>
    <x v="3"/>
    <x v="0"/>
    <n v="2"/>
    <n v="149.99"/>
    <s v="Cash"/>
    <x v="1"/>
    <x v="1"/>
    <d v="2021-10-06T00:00:00"/>
    <x v="22"/>
  </r>
  <r>
    <s v="TRX0201"/>
    <x v="103"/>
    <s v="CUST025"/>
    <x v="14"/>
    <s v="P002"/>
    <x v="5"/>
    <x v="0"/>
    <n v="5"/>
    <n v="699.99"/>
    <s v="Debit Card"/>
    <x v="3"/>
    <x v="2"/>
    <d v="2023-01-18T00:00:00"/>
    <x v="12"/>
  </r>
  <r>
    <s v="TRX0137"/>
    <x v="104"/>
    <s v="CUST011"/>
    <x v="44"/>
    <s v="P009"/>
    <x v="0"/>
    <x v="0"/>
    <n v="4"/>
    <n v="249.99"/>
    <s v="PayPal"/>
    <x v="4"/>
    <x v="1"/>
    <d v="2023-06-21T00:00:00"/>
    <x v="14"/>
  </r>
  <r>
    <s v="TRX0066"/>
    <x v="105"/>
    <s v="CUST024"/>
    <x v="5"/>
    <s v="P002"/>
    <x v="5"/>
    <x v="0"/>
    <n v="4"/>
    <n v="699.99"/>
    <s v="Credit Card"/>
    <x v="2"/>
    <x v="1"/>
    <d v="2022-05-22T00:00:00"/>
    <x v="13"/>
  </r>
  <r>
    <s v="TRX0180"/>
    <x v="106"/>
    <s v="CUST036"/>
    <x v="20"/>
    <s v="P009"/>
    <x v="0"/>
    <x v="0"/>
    <n v="2"/>
    <n v="249.99"/>
    <s v="Credit Card"/>
    <x v="0"/>
    <x v="1"/>
    <d v="2021-07-19T00:00:00"/>
    <x v="36"/>
  </r>
  <r>
    <s v="TRX0082"/>
    <x v="106"/>
    <s v="CUST005"/>
    <x v="47"/>
    <s v="P005"/>
    <x v="1"/>
    <x v="1"/>
    <n v="3"/>
    <n v="59.99"/>
    <s v="Cash"/>
    <x v="0"/>
    <x v="1"/>
    <d v="2023-05-06T00:00:00"/>
    <x v="1"/>
  </r>
  <r>
    <s v="TRX0036"/>
    <x v="106"/>
    <s v="CUST008"/>
    <x v="27"/>
    <s v="P004"/>
    <x v="7"/>
    <x v="1"/>
    <n v="4"/>
    <n v="79.989999999999995"/>
    <s v="Debit Card"/>
    <x v="4"/>
    <x v="2"/>
    <d v="2022-12-26T00:00:00"/>
    <x v="40"/>
  </r>
  <r>
    <s v="TRX0198"/>
    <x v="107"/>
    <s v="CUST030"/>
    <x v="22"/>
    <s v="P004"/>
    <x v="7"/>
    <x v="1"/>
    <n v="3"/>
    <n v="79.989999999999995"/>
    <s v="Debit Card"/>
    <x v="4"/>
    <x v="2"/>
    <d v="2022-08-06T00:00:00"/>
    <x v="18"/>
  </r>
  <r>
    <s v="TRX0032"/>
    <x v="108"/>
    <s v="CUST041"/>
    <x v="10"/>
    <s v="P001"/>
    <x v="4"/>
    <x v="0"/>
    <n v="2"/>
    <n v="899.99"/>
    <s v="Cash"/>
    <x v="2"/>
    <x v="0"/>
    <d v="2021-07-29T00:00:00"/>
    <x v="43"/>
  </r>
  <r>
    <s v="TRX0081"/>
    <x v="109"/>
    <s v="CUST007"/>
    <x v="35"/>
    <s v="P008"/>
    <x v="2"/>
    <x v="2"/>
    <n v="1"/>
    <n v="149.99"/>
    <s v="Debit Card"/>
    <x v="4"/>
    <x v="2"/>
    <d v="2023-10-01T00:00:00"/>
    <x v="5"/>
  </r>
  <r>
    <s v="TRX0224"/>
    <x v="109"/>
    <s v="CUST031"/>
    <x v="26"/>
    <s v="P007"/>
    <x v="6"/>
    <x v="2"/>
    <n v="2"/>
    <n v="299.99"/>
    <s v="Cash"/>
    <x v="4"/>
    <x v="1"/>
    <d v="2022-06-12T00:00:00"/>
    <x v="31"/>
  </r>
  <r>
    <s v="TRX0028"/>
    <x v="110"/>
    <s v="CUST002"/>
    <x v="25"/>
    <s v="P005"/>
    <x v="1"/>
    <x v="1"/>
    <n v="2"/>
    <n v="59.99"/>
    <s v="Cash"/>
    <x v="3"/>
    <x v="0"/>
    <d v="2023-09-22T00:00:00"/>
    <x v="3"/>
  </r>
  <r>
    <s v="TRX0183"/>
    <x v="111"/>
    <s v="CUST007"/>
    <x v="35"/>
    <s v="P010"/>
    <x v="8"/>
    <x v="0"/>
    <n v="1"/>
    <n v="89.99"/>
    <s v="Debit Card"/>
    <x v="0"/>
    <x v="2"/>
    <d v="2022-07-18T00:00:00"/>
    <x v="27"/>
  </r>
  <r>
    <s v="TRX0163"/>
    <x v="111"/>
    <s v="CUST019"/>
    <x v="29"/>
    <s v="P001"/>
    <x v="4"/>
    <x v="0"/>
    <n v="5"/>
    <n v="899.99"/>
    <s v="Debit Card"/>
    <x v="4"/>
    <x v="2"/>
    <d v="2022-03-05T00:00:00"/>
    <x v="29"/>
  </r>
  <r>
    <s v="TRX0046"/>
    <x v="112"/>
    <s v="CUST003"/>
    <x v="4"/>
    <s v="P008"/>
    <x v="2"/>
    <x v="2"/>
    <n v="2"/>
    <n v="149.99"/>
    <s v="Cash"/>
    <x v="1"/>
    <x v="0"/>
    <d v="2023-11-09T00:00:00"/>
    <x v="22"/>
  </r>
  <r>
    <s v="TRX0164"/>
    <x v="113"/>
    <s v="CUST014"/>
    <x v="21"/>
    <s v="P003"/>
    <x v="3"/>
    <x v="0"/>
    <n v="2"/>
    <n v="149.99"/>
    <s v="Debit Card"/>
    <x v="3"/>
    <x v="1"/>
    <d v="2023-12-20T00:00:00"/>
    <x v="22"/>
  </r>
  <r>
    <s v="TRX0008"/>
    <x v="113"/>
    <s v="CUST007"/>
    <x v="35"/>
    <s v="P008"/>
    <x v="2"/>
    <x v="2"/>
    <n v="3"/>
    <n v="149.99"/>
    <s v="Debit Card"/>
    <x v="2"/>
    <x v="2"/>
    <d v="2021-11-22T00:00:00"/>
    <x v="6"/>
  </r>
  <r>
    <s v="TRX0171"/>
    <x v="114"/>
    <s v="CUST021"/>
    <x v="2"/>
    <s v="P007"/>
    <x v="6"/>
    <x v="2"/>
    <n v="2"/>
    <n v="299.99"/>
    <s v="PayPal"/>
    <x v="1"/>
    <x v="0"/>
    <d v="2022-06-09T00:00:00"/>
    <x v="31"/>
  </r>
  <r>
    <s v="TRX0143"/>
    <x v="115"/>
    <s v="CUST003"/>
    <x v="4"/>
    <s v="P007"/>
    <x v="6"/>
    <x v="2"/>
    <n v="2"/>
    <n v="299.99"/>
    <s v="Cash"/>
    <x v="3"/>
    <x v="0"/>
    <d v="2022-07-29T00:00:00"/>
    <x v="31"/>
  </r>
  <r>
    <s v="TRX0165"/>
    <x v="115"/>
    <s v="CUST030"/>
    <x v="22"/>
    <s v="P006"/>
    <x v="9"/>
    <x v="2"/>
    <n v="4"/>
    <n v="199.99"/>
    <s v="Credit Card"/>
    <x v="0"/>
    <x v="0"/>
    <d v="2021-11-23T00:00:00"/>
    <x v="37"/>
  </r>
  <r>
    <s v="TRX0156"/>
    <x v="116"/>
    <s v="CUST009"/>
    <x v="7"/>
    <s v="P010"/>
    <x v="8"/>
    <x v="0"/>
    <n v="1"/>
    <n v="89.99"/>
    <s v="Credit Card"/>
    <x v="1"/>
    <x v="1"/>
    <d v="2022-01-30T00:00:00"/>
    <x v="27"/>
  </r>
  <r>
    <s v="TRX0147"/>
    <x v="116"/>
    <s v="CUST036"/>
    <x v="20"/>
    <s v="P008"/>
    <x v="2"/>
    <x v="2"/>
    <n v="5"/>
    <n v="149.99"/>
    <s v="Cash"/>
    <x v="0"/>
    <x v="1"/>
    <d v="2024-02-25T00:00:00"/>
    <x v="2"/>
  </r>
  <r>
    <s v="TRX0207"/>
    <x v="117"/>
    <s v="CUST025"/>
    <x v="14"/>
    <s v="P001"/>
    <x v="4"/>
    <x v="0"/>
    <n v="1"/>
    <n v="899.99"/>
    <s v="PayPal"/>
    <x v="2"/>
    <x v="1"/>
    <d v="2023-05-04T00:00:00"/>
    <x v="8"/>
  </r>
  <r>
    <s v="TRX0056"/>
    <x v="118"/>
    <s v="CUST019"/>
    <x v="29"/>
    <s v="P010"/>
    <x v="8"/>
    <x v="0"/>
    <n v="2"/>
    <n v="89.99"/>
    <s v="Credit Card"/>
    <x v="1"/>
    <x v="1"/>
    <d v="2022-01-03T00:00:00"/>
    <x v="28"/>
  </r>
  <r>
    <s v="TRX0026"/>
    <x v="119"/>
    <s v="CUST037"/>
    <x v="48"/>
    <s v="P001"/>
    <x v="4"/>
    <x v="0"/>
    <n v="1"/>
    <n v="899.99"/>
    <s v="PayPal"/>
    <x v="2"/>
    <x v="2"/>
    <d v="2022-07-10T00:00:00"/>
    <x v="8"/>
  </r>
  <r>
    <s v="TRX0237"/>
    <x v="120"/>
    <s v="CUST006"/>
    <x v="24"/>
    <s v="P003"/>
    <x v="3"/>
    <x v="0"/>
    <n v="5"/>
    <n v="149.99"/>
    <s v="PayPal"/>
    <x v="4"/>
    <x v="1"/>
    <d v="2022-09-20T00:00:00"/>
    <x v="2"/>
  </r>
  <r>
    <s v="TRX0091"/>
    <x v="120"/>
    <s v="CUST003"/>
    <x v="4"/>
    <s v="P007"/>
    <x v="6"/>
    <x v="2"/>
    <n v="3"/>
    <n v="299.99"/>
    <s v="Cash"/>
    <x v="1"/>
    <x v="2"/>
    <d v="2021-08-14T00:00:00"/>
    <x v="23"/>
  </r>
  <r>
    <s v="TRX0125"/>
    <x v="121"/>
    <s v="CUST026"/>
    <x v="8"/>
    <s v="P002"/>
    <x v="5"/>
    <x v="0"/>
    <n v="3"/>
    <n v="699.99"/>
    <s v="Credit Card"/>
    <x v="0"/>
    <x v="1"/>
    <d v="2023-06-28T00:00:00"/>
    <x v="7"/>
  </r>
  <r>
    <s v="TRX0223"/>
    <x v="122"/>
    <s v="CUST036"/>
    <x v="20"/>
    <s v="P006"/>
    <x v="9"/>
    <x v="2"/>
    <n v="5"/>
    <n v="199.99"/>
    <s v="PayPal"/>
    <x v="0"/>
    <x v="2"/>
    <d v="2022-03-13T00:00:00"/>
    <x v="21"/>
  </r>
  <r>
    <s v="TRX0243"/>
    <x v="122"/>
    <s v="CUST048"/>
    <x v="16"/>
    <s v="P009"/>
    <x v="0"/>
    <x v="0"/>
    <n v="5"/>
    <n v="249.99"/>
    <s v="Credit Card"/>
    <x v="1"/>
    <x v="0"/>
    <d v="2024-02-08T00:00:00"/>
    <x v="16"/>
  </r>
  <r>
    <s v="TRX0084"/>
    <x v="123"/>
    <s v="CUST031"/>
    <x v="26"/>
    <s v="P003"/>
    <x v="3"/>
    <x v="0"/>
    <n v="4"/>
    <n v="149.99"/>
    <s v="Debit Card"/>
    <x v="4"/>
    <x v="2"/>
    <d v="2021-12-06T00:00:00"/>
    <x v="9"/>
  </r>
  <r>
    <s v="TRX0238"/>
    <x v="123"/>
    <s v="CUST038"/>
    <x v="12"/>
    <s v="P002"/>
    <x v="5"/>
    <x v="0"/>
    <n v="3"/>
    <n v="699.99"/>
    <s v="Cash"/>
    <x v="2"/>
    <x v="1"/>
    <d v="2022-02-10T00:00:00"/>
    <x v="7"/>
  </r>
  <r>
    <s v="TRX0102"/>
    <x v="124"/>
    <s v="CUST045"/>
    <x v="46"/>
    <s v="P004"/>
    <x v="7"/>
    <x v="1"/>
    <n v="1"/>
    <n v="79.989999999999995"/>
    <s v="Credit Card"/>
    <x v="1"/>
    <x v="0"/>
    <d v="2024-01-31T00:00:00"/>
    <x v="26"/>
  </r>
  <r>
    <s v="TRX0022"/>
    <x v="124"/>
    <s v="CUST025"/>
    <x v="14"/>
    <s v="P007"/>
    <x v="6"/>
    <x v="2"/>
    <n v="1"/>
    <n v="299.99"/>
    <s v="Credit Card"/>
    <x v="2"/>
    <x v="0"/>
    <d v="2021-08-28T00:00:00"/>
    <x v="34"/>
  </r>
  <r>
    <s v="TRX0087"/>
    <x v="125"/>
    <s v="CUST028"/>
    <x v="32"/>
    <s v="P009"/>
    <x v="0"/>
    <x v="0"/>
    <n v="4"/>
    <n v="249.99"/>
    <s v="Credit Card"/>
    <x v="2"/>
    <x v="1"/>
    <d v="2021-09-21T00:00:00"/>
    <x v="14"/>
  </r>
  <r>
    <s v="TRX0107"/>
    <x v="125"/>
    <s v="CUST030"/>
    <x v="22"/>
    <s v="P003"/>
    <x v="3"/>
    <x v="0"/>
    <n v="2"/>
    <n v="149.99"/>
    <s v="Cash"/>
    <x v="2"/>
    <x v="2"/>
    <d v="2022-12-18T00:00:00"/>
    <x v="22"/>
  </r>
  <r>
    <s v="TRX0051"/>
    <x v="125"/>
    <s v="CUST032"/>
    <x v="42"/>
    <s v="P007"/>
    <x v="6"/>
    <x v="2"/>
    <n v="3"/>
    <n v="299.99"/>
    <s v="Credit Card"/>
    <x v="1"/>
    <x v="0"/>
    <d v="2023-10-05T00:00:00"/>
    <x v="23"/>
  </r>
  <r>
    <s v="TRX0106"/>
    <x v="126"/>
    <s v="CUST039"/>
    <x v="40"/>
    <s v="P006"/>
    <x v="9"/>
    <x v="2"/>
    <n v="4"/>
    <n v="199.99"/>
    <s v="Debit Card"/>
    <x v="1"/>
    <x v="2"/>
    <d v="2021-12-14T00:00:00"/>
    <x v="37"/>
  </r>
  <r>
    <s v="TRX0059"/>
    <x v="126"/>
    <s v="CUST016"/>
    <x v="39"/>
    <s v="P007"/>
    <x v="6"/>
    <x v="2"/>
    <n v="5"/>
    <n v="299.99"/>
    <s v="Debit Card"/>
    <x v="0"/>
    <x v="0"/>
    <d v="2021-08-23T00:00:00"/>
    <x v="17"/>
  </r>
  <r>
    <s v="TRX0072"/>
    <x v="126"/>
    <s v="CUST009"/>
    <x v="7"/>
    <s v="P008"/>
    <x v="2"/>
    <x v="2"/>
    <n v="3"/>
    <n v="149.99"/>
    <s v="Credit Card"/>
    <x v="4"/>
    <x v="2"/>
    <d v="2021-07-18T00:00:00"/>
    <x v="6"/>
  </r>
  <r>
    <s v="TRX0110"/>
    <x v="127"/>
    <s v="CUST006"/>
    <x v="24"/>
    <s v="P005"/>
    <x v="1"/>
    <x v="1"/>
    <n v="5"/>
    <n v="59.99"/>
    <s v="Debit Card"/>
    <x v="4"/>
    <x v="0"/>
    <d v="2022-03-22T00:00:00"/>
    <x v="42"/>
  </r>
  <r>
    <s v="TRX0126"/>
    <x v="128"/>
    <s v="CUST022"/>
    <x v="9"/>
    <s v="P005"/>
    <x v="1"/>
    <x v="1"/>
    <n v="4"/>
    <n v="59.99"/>
    <s v="Debit Card"/>
    <x v="4"/>
    <x v="2"/>
    <d v="2022-01-03T00:00:00"/>
    <x v="20"/>
  </r>
  <r>
    <s v="TRX0159"/>
    <x v="129"/>
    <s v="CUST024"/>
    <x v="5"/>
    <s v="P009"/>
    <x v="0"/>
    <x v="0"/>
    <n v="4"/>
    <n v="249.99"/>
    <s v="Debit Card"/>
    <x v="0"/>
    <x v="1"/>
    <d v="2023-10-18T00:00:00"/>
    <x v="14"/>
  </r>
  <r>
    <s v="TRX0030"/>
    <x v="130"/>
    <s v="CUST011"/>
    <x v="44"/>
    <s v="P001"/>
    <x v="4"/>
    <x v="0"/>
    <n v="4"/>
    <n v="899.99"/>
    <s v="PayPal"/>
    <x v="0"/>
    <x v="0"/>
    <d v="2022-06-22T00:00:00"/>
    <x v="11"/>
  </r>
  <r>
    <s v="TRX0178"/>
    <x v="130"/>
    <s v="CUST025"/>
    <x v="14"/>
    <s v="P007"/>
    <x v="6"/>
    <x v="2"/>
    <n v="3"/>
    <n v="299.99"/>
    <s v="Debit Card"/>
    <x v="3"/>
    <x v="2"/>
    <d v="2023-01-26T00:00:00"/>
    <x v="23"/>
  </r>
  <r>
    <s v="TRX0188"/>
    <x v="130"/>
    <s v="CUST045"/>
    <x v="46"/>
    <s v="P002"/>
    <x v="5"/>
    <x v="0"/>
    <n v="2"/>
    <n v="699.99"/>
    <s v="Debit Card"/>
    <x v="0"/>
    <x v="1"/>
    <d v="2022-04-30T00:00:00"/>
    <x v="10"/>
  </r>
  <r>
    <s v="TRX0010"/>
    <x v="131"/>
    <s v="CUST026"/>
    <x v="8"/>
    <s v="P002"/>
    <x v="5"/>
    <x v="0"/>
    <n v="4"/>
    <n v="699.99"/>
    <s v="Debit Card"/>
    <x v="3"/>
    <x v="1"/>
    <d v="2022-05-11T00:00:00"/>
    <x v="13"/>
  </r>
  <r>
    <s v="TRX0069"/>
    <x v="131"/>
    <s v="CUST029"/>
    <x v="23"/>
    <s v="P010"/>
    <x v="8"/>
    <x v="0"/>
    <n v="2"/>
    <n v="89.99"/>
    <s v="Debit Card"/>
    <x v="1"/>
    <x v="0"/>
    <d v="2022-08-04T00:00:00"/>
    <x v="28"/>
  </r>
  <r>
    <s v="TRX0166"/>
    <x v="131"/>
    <s v="CUST003"/>
    <x v="4"/>
    <s v="P010"/>
    <x v="8"/>
    <x v="0"/>
    <n v="3"/>
    <n v="89.99"/>
    <s v="Debit Card"/>
    <x v="1"/>
    <x v="1"/>
    <d v="2024-01-16T00:00:00"/>
    <x v="25"/>
  </r>
  <r>
    <s v="TRX0219"/>
    <x v="132"/>
    <s v="CUST037"/>
    <x v="48"/>
    <s v="P005"/>
    <x v="1"/>
    <x v="1"/>
    <n v="1"/>
    <n v="59.99"/>
    <s v="Debit Card"/>
    <x v="0"/>
    <x v="2"/>
    <d v="2023-04-29T00:00:00"/>
    <x v="30"/>
  </r>
  <r>
    <s v="TRX0024"/>
    <x v="133"/>
    <s v="CUST042"/>
    <x v="43"/>
    <s v="P008"/>
    <x v="2"/>
    <x v="2"/>
    <n v="3"/>
    <n v="149.99"/>
    <s v="Debit Card"/>
    <x v="2"/>
    <x v="1"/>
    <d v="2022-01-03T00:00:00"/>
    <x v="6"/>
  </r>
  <r>
    <s v="TRX0105"/>
    <x v="133"/>
    <s v="CUST048"/>
    <x v="16"/>
    <s v="P007"/>
    <x v="6"/>
    <x v="2"/>
    <n v="5"/>
    <n v="299.99"/>
    <s v="Credit Card"/>
    <x v="1"/>
    <x v="0"/>
    <d v="2023-02-02T00:00:00"/>
    <x v="17"/>
  </r>
  <r>
    <s v="TRX0011"/>
    <x v="134"/>
    <s v="CUST040"/>
    <x v="30"/>
    <s v="P005"/>
    <x v="1"/>
    <x v="1"/>
    <n v="5"/>
    <n v="59.99"/>
    <s v="Debit Card"/>
    <x v="0"/>
    <x v="2"/>
    <d v="2023-09-08T00:00:00"/>
    <x v="42"/>
  </r>
  <r>
    <s v="TRX0187"/>
    <x v="135"/>
    <s v="CUST036"/>
    <x v="20"/>
    <s v="P004"/>
    <x v="7"/>
    <x v="1"/>
    <n v="3"/>
    <n v="79.989999999999995"/>
    <s v="Cash"/>
    <x v="4"/>
    <x v="1"/>
    <d v="2021-08-28T00:00:00"/>
    <x v="18"/>
  </r>
  <r>
    <s v="TRX0089"/>
    <x v="136"/>
    <s v="CUST021"/>
    <x v="2"/>
    <s v="P006"/>
    <x v="9"/>
    <x v="2"/>
    <n v="3"/>
    <n v="199.99"/>
    <s v="Cash"/>
    <x v="0"/>
    <x v="0"/>
    <d v="2022-06-23T00:00:00"/>
    <x v="24"/>
  </r>
  <r>
    <s v="TRX0196"/>
    <x v="136"/>
    <s v="CUST023"/>
    <x v="0"/>
    <s v="P010"/>
    <x v="8"/>
    <x v="0"/>
    <n v="2"/>
    <n v="89.99"/>
    <s v="PayPal"/>
    <x v="0"/>
    <x v="0"/>
    <d v="2023-11-27T00:00:00"/>
    <x v="28"/>
  </r>
  <r>
    <s v="TRX0118"/>
    <x v="137"/>
    <s v="CUST015"/>
    <x v="45"/>
    <s v="P008"/>
    <x v="2"/>
    <x v="2"/>
    <n v="2"/>
    <n v="149.99"/>
    <s v="Cash"/>
    <x v="1"/>
    <x v="1"/>
    <d v="2022-06-16T00:00:00"/>
    <x v="22"/>
  </r>
  <r>
    <s v="TRX0179"/>
    <x v="138"/>
    <s v="CUST029"/>
    <x v="23"/>
    <s v="P002"/>
    <x v="5"/>
    <x v="0"/>
    <n v="5"/>
    <n v="699.99"/>
    <s v="PayPal"/>
    <x v="1"/>
    <x v="1"/>
    <d v="2024-03-01T00:00:00"/>
    <x v="12"/>
  </r>
  <r>
    <s v="TRX0168"/>
    <x v="138"/>
    <s v="CUST003"/>
    <x v="4"/>
    <s v="P008"/>
    <x v="2"/>
    <x v="2"/>
    <n v="3"/>
    <n v="149.99"/>
    <s v="PayPal"/>
    <x v="0"/>
    <x v="2"/>
    <d v="2022-03-13T00:00:00"/>
    <x v="6"/>
  </r>
  <r>
    <s v="TRX0214"/>
    <x v="139"/>
    <s v="CUST018"/>
    <x v="17"/>
    <s v="P001"/>
    <x v="4"/>
    <x v="0"/>
    <n v="3"/>
    <n v="899.99"/>
    <s v="Cash"/>
    <x v="4"/>
    <x v="2"/>
    <d v="2022-02-21T00:00:00"/>
    <x v="4"/>
  </r>
  <r>
    <s v="TRX0221"/>
    <x v="139"/>
    <s v="CUST033"/>
    <x v="37"/>
    <s v="P006"/>
    <x v="9"/>
    <x v="2"/>
    <n v="3"/>
    <n v="199.99"/>
    <s v="Cash"/>
    <x v="3"/>
    <x v="1"/>
    <d v="2022-09-19T00:00:00"/>
    <x v="24"/>
  </r>
  <r>
    <s v="TRX0083"/>
    <x v="140"/>
    <s v="CUST017"/>
    <x v="6"/>
    <s v="P007"/>
    <x v="6"/>
    <x v="2"/>
    <n v="5"/>
    <n v="299.99"/>
    <s v="Cash"/>
    <x v="3"/>
    <x v="2"/>
    <d v="2023-08-04T00:00:00"/>
    <x v="17"/>
  </r>
  <r>
    <s v="TRX0151"/>
    <x v="140"/>
    <s v="CUST040"/>
    <x v="30"/>
    <s v="P002"/>
    <x v="5"/>
    <x v="0"/>
    <n v="1"/>
    <n v="699.99"/>
    <s v="PayPal"/>
    <x v="3"/>
    <x v="0"/>
    <d v="2023-01-08T00:00:00"/>
    <x v="38"/>
  </r>
  <r>
    <s v="TRX0047"/>
    <x v="141"/>
    <s v="CUST042"/>
    <x v="43"/>
    <s v="P002"/>
    <x v="5"/>
    <x v="0"/>
    <n v="1"/>
    <n v="699.99"/>
    <s v="Cash"/>
    <x v="2"/>
    <x v="1"/>
    <d v="2022-01-22T00:00:00"/>
    <x v="38"/>
  </r>
  <r>
    <s v="TRX0200"/>
    <x v="141"/>
    <s v="CUST037"/>
    <x v="48"/>
    <s v="P008"/>
    <x v="2"/>
    <x v="2"/>
    <n v="4"/>
    <n v="149.99"/>
    <s v="PayPal"/>
    <x v="2"/>
    <x v="1"/>
    <d v="2021-08-04T00:00:00"/>
    <x v="9"/>
  </r>
  <r>
    <s v="TRX0062"/>
    <x v="141"/>
    <s v="CUST016"/>
    <x v="39"/>
    <s v="P010"/>
    <x v="8"/>
    <x v="0"/>
    <n v="5"/>
    <n v="89.99"/>
    <s v="PayPal"/>
    <x v="3"/>
    <x v="1"/>
    <d v="2023-08-02T00:00:00"/>
    <x v="19"/>
  </r>
  <r>
    <s v="TRX0182"/>
    <x v="142"/>
    <s v="CUST031"/>
    <x v="26"/>
    <s v="P006"/>
    <x v="9"/>
    <x v="2"/>
    <n v="2"/>
    <n v="199.99"/>
    <s v="Cash"/>
    <x v="0"/>
    <x v="1"/>
    <d v="2022-01-12T00:00:00"/>
    <x v="35"/>
  </r>
  <r>
    <s v="TRX0229"/>
    <x v="143"/>
    <s v="CUST015"/>
    <x v="45"/>
    <s v="P005"/>
    <x v="1"/>
    <x v="1"/>
    <n v="4"/>
    <n v="59.99"/>
    <s v="Cash"/>
    <x v="3"/>
    <x v="2"/>
    <d v="2023-05-24T00:00:00"/>
    <x v="20"/>
  </r>
  <r>
    <s v="TRX0048"/>
    <x v="143"/>
    <s v="CUST048"/>
    <x v="16"/>
    <s v="P007"/>
    <x v="6"/>
    <x v="2"/>
    <n v="2"/>
    <n v="299.99"/>
    <s v="PayPal"/>
    <x v="1"/>
    <x v="0"/>
    <d v="2022-01-15T00:00:00"/>
    <x v="31"/>
  </r>
  <r>
    <s v="TRX0227"/>
    <x v="144"/>
    <s v="CUST017"/>
    <x v="6"/>
    <s v="P008"/>
    <x v="2"/>
    <x v="2"/>
    <n v="2"/>
    <n v="149.99"/>
    <s v="Cash"/>
    <x v="0"/>
    <x v="0"/>
    <d v="2023-05-22T00:00:00"/>
    <x v="22"/>
  </r>
  <r>
    <s v="TRX0226"/>
    <x v="145"/>
    <s v="CUST039"/>
    <x v="40"/>
    <s v="P002"/>
    <x v="5"/>
    <x v="0"/>
    <n v="5"/>
    <n v="699.99"/>
    <s v="Debit Card"/>
    <x v="4"/>
    <x v="1"/>
    <d v="2023-08-23T00:00:00"/>
    <x v="12"/>
  </r>
  <r>
    <s v="TRX0053"/>
    <x v="146"/>
    <s v="CUST043"/>
    <x v="11"/>
    <s v="P005"/>
    <x v="1"/>
    <x v="1"/>
    <n v="5"/>
    <n v="59.99"/>
    <s v="Cash"/>
    <x v="3"/>
    <x v="1"/>
    <d v="2023-12-31T00:00:00"/>
    <x v="42"/>
  </r>
  <r>
    <s v="TRX0233"/>
    <x v="147"/>
    <s v="CUST023"/>
    <x v="0"/>
    <s v="P010"/>
    <x v="8"/>
    <x v="0"/>
    <n v="2"/>
    <n v="89.99"/>
    <s v="Credit Card"/>
    <x v="3"/>
    <x v="1"/>
    <d v="2024-01-04T00:00:00"/>
    <x v="28"/>
  </r>
  <r>
    <s v="TRX0175"/>
    <x v="147"/>
    <s v="CUST030"/>
    <x v="22"/>
    <s v="P009"/>
    <x v="0"/>
    <x v="0"/>
    <n v="5"/>
    <n v="249.99"/>
    <s v="Cash"/>
    <x v="4"/>
    <x v="2"/>
    <d v="2021-12-10T00:00:00"/>
    <x v="16"/>
  </r>
  <r>
    <s v="TRX0186"/>
    <x v="148"/>
    <s v="CUST039"/>
    <x v="40"/>
    <s v="P008"/>
    <x v="2"/>
    <x v="2"/>
    <n v="2"/>
    <n v="149.99"/>
    <s v="PayPal"/>
    <x v="0"/>
    <x v="1"/>
    <d v="2022-03-12T00:00:00"/>
    <x v="22"/>
  </r>
  <r>
    <s v="TRX0016"/>
    <x v="148"/>
    <s v="CUST035"/>
    <x v="28"/>
    <s v="P001"/>
    <x v="4"/>
    <x v="0"/>
    <n v="5"/>
    <n v="899.99"/>
    <s v="PayPal"/>
    <x v="4"/>
    <x v="1"/>
    <d v="2024-04-07T00:00:00"/>
    <x v="29"/>
  </r>
  <r>
    <s v="TRX0199"/>
    <x v="148"/>
    <s v="CUST017"/>
    <x v="6"/>
    <s v="P008"/>
    <x v="2"/>
    <x v="2"/>
    <n v="4"/>
    <n v="149.99"/>
    <s v="Cash"/>
    <x v="0"/>
    <x v="2"/>
    <d v="2023-12-03T00:00:00"/>
    <x v="9"/>
  </r>
  <r>
    <s v="TRX0038"/>
    <x v="149"/>
    <s v="CUST035"/>
    <x v="28"/>
    <s v="P009"/>
    <x v="0"/>
    <x v="0"/>
    <n v="1"/>
    <n v="249.99"/>
    <s v="Cash"/>
    <x v="2"/>
    <x v="2"/>
    <d v="2023-07-10T00:00:00"/>
    <x v="39"/>
  </r>
  <r>
    <s v="TRX0014"/>
    <x v="150"/>
    <s v="CUST033"/>
    <x v="37"/>
    <s v="P005"/>
    <x v="1"/>
    <x v="1"/>
    <n v="2"/>
    <n v="59.99"/>
    <s v="Credit Card"/>
    <x v="3"/>
    <x v="0"/>
    <d v="2023-09-24T00:00:00"/>
    <x v="3"/>
  </r>
  <r>
    <s v="TRX0003"/>
    <x v="151"/>
    <s v="CUST002"/>
    <x v="25"/>
    <s v="P008"/>
    <x v="2"/>
    <x v="2"/>
    <n v="2"/>
    <n v="149.99"/>
    <s v="Cash"/>
    <x v="3"/>
    <x v="1"/>
    <d v="2023-11-03T00:00:00"/>
    <x v="22"/>
  </r>
  <r>
    <s v="TRX0124"/>
    <x v="151"/>
    <s v="CUST040"/>
    <x v="30"/>
    <s v="P001"/>
    <x v="4"/>
    <x v="0"/>
    <n v="3"/>
    <n v="899.99"/>
    <s v="Debit Card"/>
    <x v="2"/>
    <x v="1"/>
    <d v="2022-11-11T00:00:00"/>
    <x v="4"/>
  </r>
  <r>
    <s v="TRX0013"/>
    <x v="151"/>
    <s v="CUST024"/>
    <x v="5"/>
    <s v="P001"/>
    <x v="4"/>
    <x v="0"/>
    <n v="3"/>
    <n v="899.99"/>
    <s v="PayPal"/>
    <x v="2"/>
    <x v="0"/>
    <d v="2023-02-18T00:00:00"/>
    <x v="4"/>
  </r>
  <r>
    <s v="TRX0019"/>
    <x v="152"/>
    <s v="CUST023"/>
    <x v="0"/>
    <s v="P007"/>
    <x v="6"/>
    <x v="2"/>
    <n v="3"/>
    <n v="299.99"/>
    <s v="Credit Card"/>
    <x v="3"/>
    <x v="1"/>
    <d v="2023-11-04T00:00:00"/>
    <x v="23"/>
  </r>
  <r>
    <s v="TRX0050"/>
    <x v="153"/>
    <s v="CUST001"/>
    <x v="49"/>
    <s v="P008"/>
    <x v="2"/>
    <x v="2"/>
    <n v="4"/>
    <n v="149.99"/>
    <s v="PayPal"/>
    <x v="3"/>
    <x v="2"/>
    <d v="2021-12-30T00:00:00"/>
    <x v="9"/>
  </r>
  <r>
    <s v="TRX0152"/>
    <x v="154"/>
    <s v="CUST044"/>
    <x v="19"/>
    <s v="P004"/>
    <x v="7"/>
    <x v="1"/>
    <n v="4"/>
    <n v="79.989999999999995"/>
    <s v="Credit Card"/>
    <x v="0"/>
    <x v="0"/>
    <d v="2023-12-28T00:00:00"/>
    <x v="40"/>
  </r>
  <r>
    <s v="TRX0213"/>
    <x v="155"/>
    <s v="CUST020"/>
    <x v="36"/>
    <s v="P010"/>
    <x v="8"/>
    <x v="0"/>
    <n v="5"/>
    <n v="89.99"/>
    <s v="PayPal"/>
    <x v="1"/>
    <x v="0"/>
    <d v="2022-05-23T00:00:00"/>
    <x v="19"/>
  </r>
  <r>
    <s v="TRX0197"/>
    <x v="156"/>
    <s v="CUST048"/>
    <x v="16"/>
    <s v="P008"/>
    <x v="2"/>
    <x v="2"/>
    <n v="3"/>
    <n v="149.99"/>
    <s v="PayPal"/>
    <x v="0"/>
    <x v="2"/>
    <d v="2023-09-02T00:00:00"/>
    <x v="6"/>
  </r>
  <r>
    <s v="TRX0250"/>
    <x v="156"/>
    <s v="CUST026"/>
    <x v="8"/>
    <s v="P010"/>
    <x v="8"/>
    <x v="0"/>
    <n v="2"/>
    <n v="89.99"/>
    <s v="Debit Card"/>
    <x v="3"/>
    <x v="1"/>
    <d v="2021-11-22T00:00:00"/>
    <x v="28"/>
  </r>
  <r>
    <s v="TRX0068"/>
    <x v="157"/>
    <s v="CUST044"/>
    <x v="19"/>
    <s v="P002"/>
    <x v="5"/>
    <x v="0"/>
    <n v="2"/>
    <n v="699.99"/>
    <s v="PayPal"/>
    <x v="2"/>
    <x v="2"/>
    <d v="2022-02-26T00:00:00"/>
    <x v="10"/>
  </r>
  <r>
    <s v="TRX0144"/>
    <x v="158"/>
    <s v="CUST029"/>
    <x v="23"/>
    <s v="P001"/>
    <x v="4"/>
    <x v="0"/>
    <n v="3"/>
    <n v="899.99"/>
    <s v="Cash"/>
    <x v="0"/>
    <x v="2"/>
    <d v="2023-01-27T00:00:00"/>
    <x v="4"/>
  </r>
  <r>
    <s v="TRX0039"/>
    <x v="159"/>
    <s v="CUST048"/>
    <x v="16"/>
    <s v="P004"/>
    <x v="7"/>
    <x v="1"/>
    <n v="3"/>
    <n v="79.989999999999995"/>
    <s v="Credit Card"/>
    <x v="2"/>
    <x v="0"/>
    <d v="2021-11-11T00:00:00"/>
    <x v="18"/>
  </r>
  <r>
    <s v="TRX0116"/>
    <x v="160"/>
    <s v="CUST009"/>
    <x v="7"/>
    <s v="P010"/>
    <x v="8"/>
    <x v="0"/>
    <n v="1"/>
    <n v="89.99"/>
    <s v="Debit Card"/>
    <x v="4"/>
    <x v="0"/>
    <d v="2024-02-24T00:00:00"/>
    <x v="27"/>
  </r>
  <r>
    <s v="TRX0120"/>
    <x v="161"/>
    <s v="CUST045"/>
    <x v="46"/>
    <s v="P002"/>
    <x v="5"/>
    <x v="0"/>
    <n v="3"/>
    <n v="699.99"/>
    <s v="PayPal"/>
    <x v="2"/>
    <x v="0"/>
    <d v="2022-12-14T00:00:00"/>
    <x v="7"/>
  </r>
  <r>
    <s v="TRX0103"/>
    <x v="161"/>
    <s v="CUST039"/>
    <x v="40"/>
    <s v="P010"/>
    <x v="8"/>
    <x v="0"/>
    <n v="2"/>
    <n v="89.99"/>
    <s v="Debit Card"/>
    <x v="4"/>
    <x v="0"/>
    <d v="2023-06-11T00:00:00"/>
    <x v="28"/>
  </r>
  <r>
    <s v="TRX0064"/>
    <x v="161"/>
    <s v="CUST031"/>
    <x v="26"/>
    <s v="P010"/>
    <x v="8"/>
    <x v="0"/>
    <n v="3"/>
    <n v="89.99"/>
    <s v="Debit Card"/>
    <x v="2"/>
    <x v="1"/>
    <d v="2022-11-13T00:00:00"/>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0FF760-BE3F-4549-A7E4-6633918CEABB}" name="Product_vs_Revenu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roducts">
  <location ref="D16:E26"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sortType="descending">
      <items count="11">
        <item x="1"/>
        <item x="2"/>
        <item x="7"/>
        <item x="6"/>
        <item x="3"/>
        <item x="8"/>
        <item x="4"/>
        <item x="0"/>
        <item x="9"/>
        <item x="5"/>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showAll="0"/>
    <pivotField showAll="0">
      <items count="6">
        <item x="0"/>
        <item x="4"/>
        <item x="2"/>
        <item x="1"/>
        <item x="3"/>
        <item t="default"/>
      </items>
    </pivotField>
    <pivotField showAll="0">
      <items count="4">
        <item x="0"/>
        <item x="1"/>
        <item x="2"/>
        <item t="default"/>
      </items>
    </pivotField>
    <pivotField numFmtId="164" showAll="0"/>
    <pivotField dataField="1" showAll="0"/>
    <pivotField showAll="0" defaultSubtotal="0"/>
    <pivotField showAll="0" defaultSubtotal="0"/>
    <pivotField showAll="0" defaultSubtotal="0">
      <items count="4">
        <item x="0"/>
        <item x="1"/>
        <item x="2"/>
        <item x="3"/>
      </items>
    </pivotField>
  </pivotFields>
  <rowFields count="1">
    <field x="5"/>
  </rowFields>
  <rowItems count="10">
    <i>
      <x v="6"/>
    </i>
    <i>
      <x v="9"/>
    </i>
    <i>
      <x v="3"/>
    </i>
    <i>
      <x v="7"/>
    </i>
    <i>
      <x v="1"/>
    </i>
    <i>
      <x v="8"/>
    </i>
    <i>
      <x v="5"/>
    </i>
    <i>
      <x v="4"/>
    </i>
    <i>
      <x/>
    </i>
    <i>
      <x v="2"/>
    </i>
  </rowItems>
  <colItems count="1">
    <i/>
  </colItems>
  <dataFields count="1">
    <dataField name="Total Revenue" fld="13" baseField="5" baseItem="0" numFmtId="169"/>
  </dataFields>
  <formats count="23">
    <format dxfId="22">
      <pivotArea type="all" dataOnly="0" outline="0" fieldPosition="0"/>
    </format>
    <format dxfId="21">
      <pivotArea outline="0" collapsedLevelsAreSubtotals="1" fieldPosition="0"/>
    </format>
    <format dxfId="20">
      <pivotArea field="5" type="button" dataOnly="0" labelOnly="1" outline="0" axis="axisRow" fieldPosition="0"/>
    </format>
    <format dxfId="19">
      <pivotArea dataOnly="0" labelOnly="1" fieldPosition="0">
        <references count="1">
          <reference field="5" count="0"/>
        </references>
      </pivotArea>
    </format>
    <format dxfId="18">
      <pivotArea dataOnly="0" labelOnly="1" outline="0" axis="axisValues" fieldPosition="0"/>
    </format>
    <format dxfId="17">
      <pivotArea outline="0" collapsedLevelsAreSubtotals="1" fieldPosition="0"/>
    </format>
    <format dxfId="16">
      <pivotArea dataOnly="0" labelOnly="1" fieldPosition="0">
        <references count="1">
          <reference field="5" count="0"/>
        </references>
      </pivotArea>
    </format>
    <format dxfId="15">
      <pivotArea outline="0" collapsedLevelsAreSubtotals="1" fieldPosition="0"/>
    </format>
    <format dxfId="14">
      <pivotArea dataOnly="0" labelOnly="1" fieldPosition="0">
        <references count="1">
          <reference field="5" count="0"/>
        </references>
      </pivotArea>
    </format>
    <format dxfId="13">
      <pivotArea type="all" dataOnly="0" outline="0" fieldPosition="0"/>
    </format>
    <format dxfId="12">
      <pivotArea outline="0" collapsedLevelsAreSubtotals="1" fieldPosition="0"/>
    </format>
    <format dxfId="11">
      <pivotArea field="5" type="button" dataOnly="0" labelOnly="1" outline="0" axis="axisRow" fieldPosition="0"/>
    </format>
    <format dxfId="10">
      <pivotArea dataOnly="0" labelOnly="1" fieldPosition="0">
        <references count="1">
          <reference field="5" count="0"/>
        </references>
      </pivotArea>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field="5" type="button" dataOnly="0" labelOnly="1" outline="0" axis="axisRow" fieldPosition="0"/>
    </format>
    <format dxfId="5">
      <pivotArea dataOnly="0" labelOnly="1" fieldPosition="0">
        <references count="1">
          <reference field="5" count="0"/>
        </references>
      </pivotArea>
    </format>
    <format dxfId="4">
      <pivotArea dataOnly="0" labelOnly="1" outline="0" axis="axisValues" fieldPosition="0"/>
    </format>
    <format dxfId="3">
      <pivotArea field="5" type="button" dataOnly="0" labelOnly="1" outline="0" axis="axisRow" fieldPosition="0"/>
    </format>
    <format dxfId="2">
      <pivotArea dataOnly="0" labelOnly="1" outline="0" axis="axisValues" fieldPosition="0"/>
    </format>
    <format dxfId="1">
      <pivotArea outline="0" collapsedLevelsAreSubtotals="1" fieldPosition="0"/>
    </format>
    <format dxfId="0">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1DA2A9-902E-4A4A-A5DA-015CCCCE43A6}" name="Region_vs_Revenu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gion">
  <location ref="D7:E12"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items count="4">
        <item x="0"/>
        <item x="1"/>
        <item x="2"/>
        <item t="default"/>
      </items>
    </pivotField>
    <pivotField numFmtId="16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5">
    <i>
      <x/>
    </i>
    <i>
      <x v="1"/>
    </i>
    <i>
      <x v="2"/>
    </i>
    <i>
      <x v="3"/>
    </i>
    <i>
      <x v="4"/>
    </i>
  </rowItems>
  <colItems count="1">
    <i/>
  </colItems>
  <dataFields count="1">
    <dataField name="Total Revenue" fld="13" baseField="10" baseItem="0" numFmtId="169"/>
  </dataFields>
  <formats count="17">
    <format dxfId="39">
      <pivotArea collapsedLevelsAreSubtotals="1" fieldPosition="0">
        <references count="1">
          <reference field="10" count="0"/>
        </references>
      </pivotArea>
    </format>
    <format dxfId="38">
      <pivotArea field="10" type="button" dataOnly="0" labelOnly="1" outline="0" axis="axisRow" fieldPosition="0"/>
    </format>
    <format dxfId="37">
      <pivotArea dataOnly="0" labelOnly="1" fieldPosition="0">
        <references count="1">
          <reference field="10" count="0"/>
        </references>
      </pivotArea>
    </format>
    <format dxfId="36">
      <pivotArea dataOnly="0" labelOnly="1" outline="0" axis="axisValues" fieldPosition="0"/>
    </format>
    <format dxfId="35">
      <pivotArea collapsedLevelsAreSubtotals="1" fieldPosition="0">
        <references count="1">
          <reference field="10" count="0"/>
        </references>
      </pivotArea>
    </format>
    <format dxfId="34">
      <pivotArea field="10" type="button" dataOnly="0" labelOnly="1" outline="0" axis="axisRow" fieldPosition="0"/>
    </format>
    <format dxfId="33">
      <pivotArea dataOnly="0" labelOnly="1" fieldPosition="0">
        <references count="1">
          <reference field="10" count="0"/>
        </references>
      </pivotArea>
    </format>
    <format dxfId="32">
      <pivotArea dataOnly="0" labelOnly="1" outline="0" axis="axisValues" fieldPosition="0"/>
    </format>
    <format dxfId="31">
      <pivotArea collapsedLevelsAreSubtotals="1" fieldPosition="0">
        <references count="1">
          <reference field="10" count="0"/>
        </references>
      </pivotArea>
    </format>
    <format dxfId="30">
      <pivotArea field="10" type="button" dataOnly="0" labelOnly="1" outline="0" axis="axisRow" fieldPosition="0"/>
    </format>
    <format dxfId="29">
      <pivotArea dataOnly="0" labelOnly="1" fieldPosition="0">
        <references count="1">
          <reference field="10" count="0"/>
        </references>
      </pivotArea>
    </format>
    <format dxfId="28">
      <pivotArea dataOnly="0" labelOnly="1" outline="0" axis="axisValues" fieldPosition="0"/>
    </format>
    <format dxfId="27">
      <pivotArea dataOnly="0" labelOnly="1" fieldPosition="0">
        <references count="1">
          <reference field="10" count="0"/>
        </references>
      </pivotArea>
    </format>
    <format dxfId="26">
      <pivotArea field="10" type="button" dataOnly="0" labelOnly="1" outline="0" axis="axisRow" fieldPosition="0"/>
    </format>
    <format dxfId="25">
      <pivotArea dataOnly="0" labelOnly="1" outline="0" axis="axisValues" fieldPosition="0"/>
    </format>
    <format dxfId="24">
      <pivotArea outline="0" collapsedLevelsAreSubtotals="1" fieldPosition="0"/>
    </format>
    <format dxfId="23">
      <pivotArea dataOnly="0" labelOnly="1" fieldPosition="0">
        <references count="1">
          <reference field="10" count="0"/>
        </references>
      </pivotArea>
    </format>
  </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A692A1-CC7B-4099-86F2-C17913D46078}" name="Top_10_Customer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ustomer Name">
  <location ref="J7:K17"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axis="axisRow" showAll="0" measureFilter="1" sortType="descending">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pivotField showAll="0"/>
    <pivotField showAll="0"/>
    <pivotField showAll="0">
      <items count="6">
        <item x="0"/>
        <item x="4"/>
        <item x="2"/>
        <item x="1"/>
        <item x="3"/>
        <item t="default"/>
      </items>
    </pivotField>
    <pivotField showAll="0">
      <items count="4">
        <item x="0"/>
        <item x="1"/>
        <item x="2"/>
        <item t="default"/>
      </items>
    </pivotField>
    <pivotField numFmtId="164" showAll="0"/>
    <pivotField dataField="1"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showAll="0" defaultSubtotal="0"/>
    <pivotField showAll="0" defaultSubtotal="0"/>
    <pivotField showAll="0" defaultSubtotal="0">
      <items count="4">
        <item x="0"/>
        <item x="1"/>
        <item x="2"/>
        <item x="3"/>
      </items>
    </pivotField>
  </pivotFields>
  <rowFields count="1">
    <field x="3"/>
  </rowFields>
  <rowItems count="10">
    <i>
      <x v="32"/>
    </i>
    <i>
      <x v="11"/>
    </i>
    <i>
      <x v="1"/>
    </i>
    <i>
      <x v="36"/>
    </i>
    <i>
      <x v="37"/>
    </i>
    <i>
      <x v="9"/>
    </i>
    <i>
      <x v="24"/>
    </i>
    <i>
      <x v="6"/>
    </i>
    <i>
      <x v="27"/>
    </i>
    <i>
      <x v="22"/>
    </i>
  </rowItems>
  <colItems count="1">
    <i/>
  </colItems>
  <dataFields count="1">
    <dataField name="Total Amount" fld="13" baseField="3" baseItem="32" numFmtId="169"/>
  </dataFields>
  <formats count="21">
    <format dxfId="60">
      <pivotArea outline="0" collapsedLevelsAreSubtotals="1" fieldPosition="0"/>
    </format>
    <format dxfId="59">
      <pivotArea dataOnly="0" labelOnly="1" fieldPosition="0">
        <references count="1">
          <reference field="3" count="10">
            <x v="1"/>
            <x v="6"/>
            <x v="9"/>
            <x v="11"/>
            <x v="22"/>
            <x v="24"/>
            <x v="27"/>
            <x v="32"/>
            <x v="36"/>
            <x v="37"/>
          </reference>
        </references>
      </pivotArea>
    </format>
    <format dxfId="58">
      <pivotArea type="all" dataOnly="0" outline="0" fieldPosition="0"/>
    </format>
    <format dxfId="57">
      <pivotArea outline="0" collapsedLevelsAreSubtotals="1" fieldPosition="0"/>
    </format>
    <format dxfId="56">
      <pivotArea field="3" type="button" dataOnly="0" labelOnly="1" outline="0" axis="axisRow" fieldPosition="0"/>
    </format>
    <format dxfId="55">
      <pivotArea dataOnly="0" labelOnly="1" fieldPosition="0">
        <references count="1">
          <reference field="3" count="10">
            <x v="1"/>
            <x v="6"/>
            <x v="9"/>
            <x v="11"/>
            <x v="22"/>
            <x v="24"/>
            <x v="27"/>
            <x v="32"/>
            <x v="36"/>
            <x v="37"/>
          </reference>
        </references>
      </pivotArea>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3" type="button" dataOnly="0" labelOnly="1" outline="0" axis="axisRow" fieldPosition="0"/>
    </format>
    <format dxfId="50">
      <pivotArea dataOnly="0" labelOnly="1" fieldPosition="0">
        <references count="1">
          <reference field="3" count="10">
            <x v="1"/>
            <x v="6"/>
            <x v="9"/>
            <x v="11"/>
            <x v="22"/>
            <x v="24"/>
            <x v="27"/>
            <x v="32"/>
            <x v="36"/>
            <x v="37"/>
          </reference>
        </references>
      </pivotArea>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3" type="button" dataOnly="0" labelOnly="1" outline="0" axis="axisRow" fieldPosition="0"/>
    </format>
    <format dxfId="45">
      <pivotArea dataOnly="0" labelOnly="1" fieldPosition="0">
        <references count="1">
          <reference field="3" count="10">
            <x v="1"/>
            <x v="6"/>
            <x v="9"/>
            <x v="11"/>
            <x v="22"/>
            <x v="24"/>
            <x v="27"/>
            <x v="32"/>
            <x v="36"/>
            <x v="37"/>
          </reference>
        </references>
      </pivotArea>
    </format>
    <format dxfId="44">
      <pivotArea dataOnly="0" labelOnly="1" outline="0" axis="axisValues" fieldPosition="0"/>
    </format>
    <format dxfId="43">
      <pivotArea field="3" type="button" dataOnly="0" labelOnly="1" outline="0" axis="axisRow" fieldPosition="0"/>
    </format>
    <format dxfId="42">
      <pivotArea dataOnly="0" labelOnly="1" outline="0" axis="axisValues" fieldPosition="0"/>
    </format>
    <format dxfId="41">
      <pivotArea outline="0" collapsedLevelsAreSubtotals="1" fieldPosition="0"/>
    </format>
    <format dxfId="40">
      <pivotArea dataOnly="0" labelOnly="1" fieldPosition="0">
        <references count="1">
          <reference field="3" count="10">
            <x v="1"/>
            <x v="6"/>
            <x v="9"/>
            <x v="11"/>
            <x v="22"/>
            <x v="24"/>
            <x v="27"/>
            <x v="32"/>
            <x v="36"/>
            <x v="37"/>
          </reference>
        </references>
      </pivotArea>
    </format>
  </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B91489-7E40-4B26-86DC-0EF1757FC136}" name="Segment_vs_Revenu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egments">
  <location ref="J21:K24"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items count="6">
        <item x="0"/>
        <item x="4"/>
        <item x="2"/>
        <item x="1"/>
        <item x="3"/>
        <item t="default"/>
      </items>
    </pivotField>
    <pivotField axis="axisRow" showAll="0">
      <items count="4">
        <item x="0"/>
        <item x="1"/>
        <item x="2"/>
        <item t="default"/>
      </items>
    </pivotField>
    <pivotField numFmtId="164" showAll="0"/>
    <pivotField dataField="1" showAll="0"/>
    <pivotField showAll="0" defaultSubtotal="0"/>
    <pivotField showAll="0" defaultSubtotal="0"/>
    <pivotField showAll="0" defaultSubtotal="0">
      <items count="4">
        <item x="0"/>
        <item x="1"/>
        <item x="2"/>
        <item x="3"/>
      </items>
    </pivotField>
  </pivotFields>
  <rowFields count="1">
    <field x="11"/>
  </rowFields>
  <rowItems count="3">
    <i>
      <x/>
    </i>
    <i>
      <x v="1"/>
    </i>
    <i>
      <x v="2"/>
    </i>
  </rowItems>
  <colItems count="1">
    <i/>
  </colItems>
  <dataFields count="1">
    <dataField name="Avg Revenuet" fld="13" subtotal="average" baseField="11" baseItem="0" numFmtId="169"/>
  </dataFields>
  <formats count="21">
    <format dxfId="81">
      <pivotArea type="all" dataOnly="0" outline="0" fieldPosition="0"/>
    </format>
    <format dxfId="80">
      <pivotArea outline="0" collapsedLevelsAreSubtotals="1" fieldPosition="0"/>
    </format>
    <format dxfId="79">
      <pivotArea field="11" type="button" dataOnly="0" labelOnly="1" outline="0" axis="axisRow" fieldPosition="0"/>
    </format>
    <format dxfId="78">
      <pivotArea dataOnly="0" labelOnly="1" fieldPosition="0">
        <references count="1">
          <reference field="11" count="0"/>
        </references>
      </pivotArea>
    </format>
    <format dxfId="77">
      <pivotArea dataOnly="0" labelOnly="1" outline="0" axis="axisValues" fieldPosition="0"/>
    </format>
    <format dxfId="76">
      <pivotArea outline="0" collapsedLevelsAreSubtotals="1" fieldPosition="0"/>
    </format>
    <format dxfId="75">
      <pivotArea dataOnly="0" labelOnly="1" fieldPosition="0">
        <references count="1">
          <reference field="11" count="0"/>
        </references>
      </pivotArea>
    </format>
    <format dxfId="74">
      <pivotArea type="all" dataOnly="0" outline="0" fieldPosition="0"/>
    </format>
    <format dxfId="73">
      <pivotArea outline="0" collapsedLevelsAreSubtotals="1" fieldPosition="0"/>
    </format>
    <format dxfId="72">
      <pivotArea field="11" type="button" dataOnly="0" labelOnly="1" outline="0" axis="axisRow" fieldPosition="0"/>
    </format>
    <format dxfId="71">
      <pivotArea dataOnly="0" labelOnly="1" fieldPosition="0">
        <references count="1">
          <reference field="11" count="0"/>
        </references>
      </pivotArea>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11" type="button" dataOnly="0" labelOnly="1" outline="0" axis="axisRow" fieldPosition="0"/>
    </format>
    <format dxfId="66">
      <pivotArea dataOnly="0" labelOnly="1" fieldPosition="0">
        <references count="1">
          <reference field="11" count="0"/>
        </references>
      </pivotArea>
    </format>
    <format dxfId="65">
      <pivotArea dataOnly="0" labelOnly="1" outline="0" axis="axisValues" fieldPosition="0"/>
    </format>
    <format dxfId="64">
      <pivotArea field="11" type="button" dataOnly="0" labelOnly="1" outline="0" axis="axisRow" fieldPosition="0"/>
    </format>
    <format dxfId="63">
      <pivotArea dataOnly="0" labelOnly="1" outline="0" axis="axisValues" fieldPosition="0"/>
    </format>
    <format dxfId="62">
      <pivotArea outline="0" collapsedLevelsAreSubtotals="1" fieldPosition="0"/>
    </format>
    <format dxfId="61">
      <pivotArea dataOnly="0" labelOnly="1" fieldPosition="0">
        <references count="1">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8793C4-B4EF-44CC-BDCB-E371C7C83A8D}" name="Category_vs_Unit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rowHeaderCaption="Category">
  <location ref="M21:N24"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dataField="1" showAll="0"/>
    <pivotField showAll="0"/>
    <pivotField showAll="0"/>
    <pivotField showAll="0">
      <items count="6">
        <item x="0"/>
        <item x="4"/>
        <item x="2"/>
        <item x="1"/>
        <item x="3"/>
        <item t="default"/>
      </items>
    </pivotField>
    <pivotField showAll="0">
      <items count="4">
        <item x="0"/>
        <item x="1"/>
        <item x="2"/>
        <item t="default"/>
      </items>
    </pivotField>
    <pivotField numFmtId="164" showAll="0"/>
    <pivotField showAll="0"/>
    <pivotField showAll="0" defaultSubtotal="0"/>
    <pivotField showAll="0" defaultSubtotal="0"/>
    <pivotField showAll="0" defaultSubtotal="0">
      <items count="4">
        <item x="0"/>
        <item x="1"/>
        <item x="2"/>
        <item x="3"/>
      </items>
    </pivotField>
  </pivotFields>
  <rowFields count="1">
    <field x="6"/>
  </rowFields>
  <rowItems count="3">
    <i>
      <x/>
    </i>
    <i>
      <x v="1"/>
    </i>
    <i>
      <x v="2"/>
    </i>
  </rowItems>
  <colItems count="1">
    <i/>
  </colItems>
  <dataFields count="1">
    <dataField name="Total Units" fld="7" baseField="6" baseItem="0"/>
  </dataFields>
  <formats count="18">
    <format dxfId="99">
      <pivotArea collapsedLevelsAreSubtotals="1" fieldPosition="0">
        <references count="1">
          <reference field="6" count="0"/>
        </references>
      </pivotArea>
    </format>
    <format dxfId="98">
      <pivotArea field="6" type="button" dataOnly="0" labelOnly="1" outline="0" axis="axisRow" fieldPosition="0"/>
    </format>
    <format dxfId="97">
      <pivotArea dataOnly="0" labelOnly="1" fieldPosition="0">
        <references count="1">
          <reference field="6" count="0"/>
        </references>
      </pivotArea>
    </format>
    <format dxfId="96">
      <pivotArea dataOnly="0" labelOnly="1" outline="0" axis="axisValues" fieldPosition="0"/>
    </format>
    <format dxfId="95">
      <pivotArea collapsedLevelsAreSubtotals="1" fieldPosition="0">
        <references count="1">
          <reference field="6" count="0"/>
        </references>
      </pivotArea>
    </format>
    <format dxfId="94">
      <pivotArea field="6" type="button" dataOnly="0" labelOnly="1" outline="0" axis="axisRow" fieldPosition="0"/>
    </format>
    <format dxfId="93">
      <pivotArea dataOnly="0" labelOnly="1" fieldPosition="0">
        <references count="1">
          <reference field="6" count="0"/>
        </references>
      </pivotArea>
    </format>
    <format dxfId="92">
      <pivotArea dataOnly="0" labelOnly="1" outline="0" axis="axisValues" fieldPosition="0"/>
    </format>
    <format dxfId="91">
      <pivotArea collapsedLevelsAreSubtotals="1" fieldPosition="0">
        <references count="1">
          <reference field="6" count="0"/>
        </references>
      </pivotArea>
    </format>
    <format dxfId="90">
      <pivotArea field="6" type="button" dataOnly="0" labelOnly="1" outline="0" axis="axisRow" fieldPosition="0"/>
    </format>
    <format dxfId="89">
      <pivotArea dataOnly="0" labelOnly="1" fieldPosition="0">
        <references count="1">
          <reference field="6" count="0"/>
        </references>
      </pivotArea>
    </format>
    <format dxfId="88">
      <pivotArea dataOnly="0" labelOnly="1" outline="0" axis="axisValues" fieldPosition="0"/>
    </format>
    <format dxfId="87">
      <pivotArea collapsedLevelsAreSubtotals="1" fieldPosition="0">
        <references count="1">
          <reference field="6" count="0"/>
        </references>
      </pivotArea>
    </format>
    <format dxfId="86">
      <pivotArea dataOnly="0" labelOnly="1" fieldPosition="0">
        <references count="1">
          <reference field="6" count="0"/>
        </references>
      </pivotArea>
    </format>
    <format dxfId="85">
      <pivotArea field="6" type="button" dataOnly="0" labelOnly="1" outline="0" axis="axisRow" fieldPosition="0"/>
    </format>
    <format dxfId="84">
      <pivotArea dataOnly="0" labelOnly="1" outline="0" axis="axisValues" fieldPosition="0"/>
    </format>
    <format dxfId="83">
      <pivotArea outline="0" collapsedLevelsAreSubtotals="1" fieldPosition="0"/>
    </format>
    <format dxfId="82">
      <pivotArea dataOnly="0" labelOnly="1" fieldPosition="0">
        <references count="1">
          <reference field="6" count="0"/>
        </references>
      </pivotArea>
    </format>
  </formats>
  <chartFormats count="1">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D729E7-447F-4F6B-9115-EC81CA538ADF}" name="Category_vs_Revenu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ategory">
  <location ref="G23:H26"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numFmtId="16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x v="2"/>
    </i>
  </rowItems>
  <colItems count="1">
    <i/>
  </colItems>
  <dataFields count="1">
    <dataField name="Total Revenue" fld="13" baseField="6" baseItem="0" numFmtId="169"/>
  </dataFields>
  <formats count="18">
    <format dxfId="117">
      <pivotArea collapsedLevelsAreSubtotals="1" fieldPosition="0">
        <references count="1">
          <reference field="6" count="0"/>
        </references>
      </pivotArea>
    </format>
    <format dxfId="116">
      <pivotArea field="6" type="button" dataOnly="0" labelOnly="1" outline="0" axis="axisRow" fieldPosition="0"/>
    </format>
    <format dxfId="115">
      <pivotArea dataOnly="0" labelOnly="1" fieldPosition="0">
        <references count="1">
          <reference field="6" count="0"/>
        </references>
      </pivotArea>
    </format>
    <format dxfId="114">
      <pivotArea dataOnly="0" labelOnly="1" outline="0" axis="axisValues" fieldPosition="0"/>
    </format>
    <format dxfId="113">
      <pivotArea outline="0" collapsedLevelsAreSubtotals="1" fieldPosition="0"/>
    </format>
    <format dxfId="112">
      <pivotArea dataOnly="0" labelOnly="1" fieldPosition="0">
        <references count="1">
          <reference field="6" count="0"/>
        </references>
      </pivotArea>
    </format>
    <format dxfId="111">
      <pivotArea outline="0" collapsedLevelsAreSubtotals="1" fieldPosition="0"/>
    </format>
    <format dxfId="110">
      <pivotArea dataOnly="0" labelOnly="1" fieldPosition="0">
        <references count="1">
          <reference field="6" count="0"/>
        </references>
      </pivotArea>
    </format>
    <format dxfId="109">
      <pivotArea outline="0" collapsedLevelsAreSubtotals="1" fieldPosition="0"/>
    </format>
    <format dxfId="108">
      <pivotArea dataOnly="0" labelOnly="1" fieldPosition="0">
        <references count="1">
          <reference field="6" count="0"/>
        </references>
      </pivotArea>
    </format>
    <format dxfId="107">
      <pivotArea outline="0" collapsedLevelsAreSubtotals="1" fieldPosition="0"/>
    </format>
    <format dxfId="106">
      <pivotArea dataOnly="0" labelOnly="1" fieldPosition="0">
        <references count="1">
          <reference field="6" count="0"/>
        </references>
      </pivotArea>
    </format>
    <format dxfId="105">
      <pivotArea field="6" type="button" dataOnly="0" labelOnly="1" outline="0" axis="axisRow" fieldPosition="0"/>
    </format>
    <format dxfId="104">
      <pivotArea field="6" type="button" dataOnly="0" labelOnly="1" outline="0" axis="axisRow" fieldPosition="0"/>
    </format>
    <format dxfId="103">
      <pivotArea field="6" type="button" dataOnly="0" labelOnly="1" outline="0" axis="axisRow" fieldPosition="0"/>
    </format>
    <format dxfId="102">
      <pivotArea dataOnly="0" labelOnly="1" outline="0" axis="axisValues" fieldPosition="0"/>
    </format>
    <format dxfId="101">
      <pivotArea outline="0" collapsedLevelsAreSubtotals="1" fieldPosition="0"/>
    </format>
    <format dxfId="100">
      <pivotArea dataOnly="0" labelOnly="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1F3C22-67FF-4EDD-85CC-CFB3E8F79B7E}" name="Product_vs_Unit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roducts">
  <location ref="M7:N17"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sortType="descending">
      <items count="11">
        <item x="1"/>
        <item x="2"/>
        <item x="7"/>
        <item x="6"/>
        <item x="3"/>
        <item x="8"/>
        <item x="4"/>
        <item x="0"/>
        <item x="9"/>
        <item x="5"/>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dataField="1" showAll="0"/>
    <pivotField showAll="0"/>
    <pivotField showAll="0"/>
    <pivotField showAll="0">
      <items count="6">
        <item x="0"/>
        <item x="4"/>
        <item x="2"/>
        <item x="1"/>
        <item x="3"/>
        <item t="default"/>
      </items>
    </pivotField>
    <pivotField showAll="0">
      <items count="4">
        <item x="0"/>
        <item x="1"/>
        <item x="2"/>
        <item t="default"/>
      </items>
    </pivotField>
    <pivotField numFmtId="164" showAll="0"/>
    <pivotField showAll="0"/>
    <pivotField showAll="0" defaultSubtotal="0"/>
    <pivotField showAll="0" defaultSubtotal="0"/>
    <pivotField showAll="0" defaultSubtotal="0">
      <items count="4">
        <item x="0"/>
        <item x="1"/>
        <item x="2"/>
        <item x="3"/>
      </items>
    </pivotField>
  </pivotFields>
  <rowFields count="1">
    <field x="5"/>
  </rowFields>
  <rowItems count="10">
    <i>
      <x v="1"/>
    </i>
    <i>
      <x v="9"/>
    </i>
    <i>
      <x v="5"/>
    </i>
    <i>
      <x v="7"/>
    </i>
    <i>
      <x/>
    </i>
    <i>
      <x v="3"/>
    </i>
    <i>
      <x v="6"/>
    </i>
    <i>
      <x v="8"/>
    </i>
    <i>
      <x v="4"/>
    </i>
    <i>
      <x v="2"/>
    </i>
  </rowItems>
  <colItems count="1">
    <i/>
  </colItems>
  <dataFields count="1">
    <dataField name="Total Units" fld="7" baseField="5" baseItem="0"/>
  </dataFields>
  <formats count="23">
    <format dxfId="140">
      <pivotArea outline="0" collapsedLevelsAreSubtotals="1" fieldPosition="0"/>
    </format>
    <format dxfId="139">
      <pivotArea dataOnly="0" labelOnly="1" fieldPosition="0">
        <references count="1">
          <reference field="5" count="0"/>
        </references>
      </pivotArea>
    </format>
    <format dxfId="138">
      <pivotArea type="all" dataOnly="0" outline="0" fieldPosition="0"/>
    </format>
    <format dxfId="137">
      <pivotArea outline="0" collapsedLevelsAreSubtotals="1" fieldPosition="0"/>
    </format>
    <format dxfId="136">
      <pivotArea field="5" type="button" dataOnly="0" labelOnly="1" outline="0" axis="axisRow" fieldPosition="0"/>
    </format>
    <format dxfId="135">
      <pivotArea dataOnly="0" labelOnly="1" fieldPosition="0">
        <references count="1">
          <reference field="5" count="0"/>
        </references>
      </pivotArea>
    </format>
    <format dxfId="134">
      <pivotArea dataOnly="0" labelOnly="1" outline="0" axis="axisValues" fieldPosition="0"/>
    </format>
    <format dxfId="133">
      <pivotArea outline="0" collapsedLevelsAreSubtotals="1" fieldPosition="0"/>
    </format>
    <format dxfId="132">
      <pivotArea dataOnly="0" labelOnly="1" fieldPosition="0">
        <references count="1">
          <reference field="5" count="0"/>
        </references>
      </pivotArea>
    </format>
    <format dxfId="131">
      <pivotArea type="all" dataOnly="0" outline="0" fieldPosition="0"/>
    </format>
    <format dxfId="130">
      <pivotArea outline="0" collapsedLevelsAreSubtotals="1" fieldPosition="0"/>
    </format>
    <format dxfId="129">
      <pivotArea field="5" type="button" dataOnly="0" labelOnly="1" outline="0" axis="axisRow" fieldPosition="0"/>
    </format>
    <format dxfId="128">
      <pivotArea dataOnly="0" labelOnly="1" fieldPosition="0">
        <references count="1">
          <reference field="5" count="0"/>
        </references>
      </pivotArea>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field="5" type="button" dataOnly="0" labelOnly="1" outline="0" axis="axisRow" fieldPosition="0"/>
    </format>
    <format dxfId="123">
      <pivotArea dataOnly="0" labelOnly="1" fieldPosition="0">
        <references count="1">
          <reference field="5" count="0"/>
        </references>
      </pivotArea>
    </format>
    <format dxfId="122">
      <pivotArea dataOnly="0" labelOnly="1" outline="0" axis="axisValues" fieldPosition="0"/>
    </format>
    <format dxfId="121">
      <pivotArea field="5" type="button" dataOnly="0" labelOnly="1" outline="0" axis="axisRow" fieldPosition="0"/>
    </format>
    <format dxfId="120">
      <pivotArea dataOnly="0" labelOnly="1" outline="0" axis="axisValues" fieldPosition="0"/>
    </format>
    <format dxfId="119">
      <pivotArea outline="0" collapsedLevelsAreSubtotals="1" fieldPosition="0"/>
    </format>
    <format dxfId="118">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433EB0-9618-4852-80C4-76435BC358EB}" name="Month_vs_Revenu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Months (2024)">
  <location ref="G7:H19"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showAll="0"/>
    <pivotField showAll="0"/>
    <pivotField showAll="0"/>
    <pivotField showAll="0"/>
    <pivotField showAll="0"/>
    <pivotField numFmtId="164"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4"/>
  </rowFields>
  <rowItems count="12">
    <i>
      <x v="1"/>
    </i>
    <i>
      <x v="2"/>
    </i>
    <i>
      <x v="3"/>
    </i>
    <i>
      <x v="4"/>
    </i>
    <i>
      <x v="5"/>
    </i>
    <i>
      <x v="6"/>
    </i>
    <i>
      <x v="7"/>
    </i>
    <i>
      <x v="8"/>
    </i>
    <i>
      <x v="9"/>
    </i>
    <i>
      <x v="10"/>
    </i>
    <i>
      <x v="11"/>
    </i>
    <i>
      <x v="12"/>
    </i>
  </rowItems>
  <colItems count="1">
    <i/>
  </colItems>
  <dataFields count="1">
    <dataField name="Total Revenue" fld="13" baseField="14" baseItem="1" numFmtId="169"/>
  </dataFields>
  <formats count="15">
    <format dxfId="155">
      <pivotArea type="all" dataOnly="0" outline="0" fieldPosition="0"/>
    </format>
    <format dxfId="154">
      <pivotArea outline="0" collapsedLevelsAreSubtotals="1" fieldPosition="0"/>
    </format>
    <format dxfId="153">
      <pivotArea field="14" type="button" dataOnly="0" labelOnly="1" outline="0" axis="axisRow" fieldPosition="0"/>
    </format>
    <format dxfId="152">
      <pivotArea dataOnly="0" labelOnly="1" fieldPosition="0">
        <references count="1">
          <reference field="14" count="12">
            <x v="1"/>
            <x v="2"/>
            <x v="3"/>
            <x v="4"/>
            <x v="5"/>
            <x v="6"/>
            <x v="7"/>
            <x v="8"/>
            <x v="9"/>
            <x v="10"/>
            <x v="11"/>
            <x v="12"/>
          </reference>
        </references>
      </pivotArea>
    </format>
    <format dxfId="151">
      <pivotArea dataOnly="0" labelOnly="1" outline="0" axis="axisValues" fieldPosition="0"/>
    </format>
    <format dxfId="150">
      <pivotArea outline="0" collapsedLevelsAreSubtotals="1" fieldPosition="0"/>
    </format>
    <format dxfId="149">
      <pivotArea dataOnly="0" labelOnly="1" fieldPosition="0">
        <references count="1">
          <reference field="14" count="12">
            <x v="1"/>
            <x v="2"/>
            <x v="3"/>
            <x v="4"/>
            <x v="5"/>
            <x v="6"/>
            <x v="7"/>
            <x v="8"/>
            <x v="9"/>
            <x v="10"/>
            <x v="11"/>
            <x v="12"/>
          </reference>
        </references>
      </pivotArea>
    </format>
    <format dxfId="148">
      <pivotArea outline="0" collapsedLevelsAreSubtotals="1" fieldPosition="0"/>
    </format>
    <format dxfId="147">
      <pivotArea dataOnly="0" labelOnly="1" fieldPosition="0">
        <references count="1">
          <reference field="14" count="12">
            <x v="1"/>
            <x v="2"/>
            <x v="3"/>
            <x v="4"/>
            <x v="5"/>
            <x v="6"/>
            <x v="7"/>
            <x v="8"/>
            <x v="9"/>
            <x v="10"/>
            <x v="11"/>
            <x v="12"/>
          </reference>
        </references>
      </pivotArea>
    </format>
    <format dxfId="146">
      <pivotArea outline="0" collapsedLevelsAreSubtotals="1" fieldPosition="0"/>
    </format>
    <format dxfId="145">
      <pivotArea dataOnly="0" labelOnly="1" fieldPosition="0">
        <references count="1">
          <reference field="14" count="12">
            <x v="1"/>
            <x v="2"/>
            <x v="3"/>
            <x v="4"/>
            <x v="5"/>
            <x v="6"/>
            <x v="7"/>
            <x v="8"/>
            <x v="9"/>
            <x v="10"/>
            <x v="11"/>
            <x v="12"/>
          </reference>
        </references>
      </pivotArea>
    </format>
    <format dxfId="144">
      <pivotArea field="14" type="button" dataOnly="0" labelOnly="1" outline="0" axis="axisRow" fieldPosition="0"/>
    </format>
    <format dxfId="143">
      <pivotArea dataOnly="0" labelOnly="1" outline="0" axis="axisValues" fieldPosition="0"/>
    </format>
    <format dxfId="142">
      <pivotArea outline="0" collapsedLevelsAreSubtotals="1" fieldPosition="0"/>
    </format>
    <format dxfId="141">
      <pivotArea dataOnly="0" labelOnly="1" fieldPosition="0">
        <references count="1">
          <reference field="14" count="12">
            <x v="1"/>
            <x v="2"/>
            <x v="3"/>
            <x v="4"/>
            <x v="5"/>
            <x v="6"/>
            <x v="7"/>
            <x v="8"/>
            <x v="9"/>
            <x v="10"/>
            <x v="11"/>
            <x v="12"/>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518F59F4-744E-4F1B-BAC5-9AF3C3A76A7D}" sourceName="Customer_Segment">
  <pivotTables>
    <pivotTable tabId="5" name="Category_vs_Units"/>
    <pivotTable tabId="5" name="Product_vs_Revenue"/>
    <pivotTable tabId="5" name="Product_vs_Units"/>
    <pivotTable tabId="5" name="Region_vs_Revenue"/>
    <pivotTable tabId="5" name="Top_10_Customers"/>
  </pivotTables>
  <data>
    <tabular pivotCacheId="202921088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374B4A1-1F78-41E4-B1AC-0810C90A4682}" sourceName="Region">
  <pivotTables>
    <pivotTable tabId="5" name="Category_vs_Units"/>
    <pivotTable tabId="5" name="Product_vs_Revenue"/>
    <pivotTable tabId="5" name="Product_vs_Units"/>
    <pivotTable tabId="5" name="Segment_vs_Revenue"/>
    <pivotTable tabId="5" name="Top_10_Customers"/>
  </pivotTables>
  <data>
    <tabular pivotCacheId="202921088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125ABED-4F17-4C03-B5CA-C5E1C6871B53}" sourceName="Category">
  <pivotTables>
    <pivotTable tabId="5" name="Category_vs_Units"/>
    <pivotTable tabId="5" name="Product_vs_Revenue"/>
    <pivotTable tabId="5" name="Product_vs_Units"/>
    <pivotTable tabId="5" name="Segment_vs_Revenue"/>
    <pivotTable tabId="5" name="Top_10_Customers"/>
  </pivotTables>
  <data>
    <tabular pivotCacheId="202921088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A8AF1487-55C5-40ED-9D63-C3E5519AB208}" cache="Slicer_Customer_Segment" caption="Segment" style="SlicerStyleLight4" rowHeight="234950"/>
  <slicer name="Region" xr10:uid="{13EA59C8-1857-4EE5-942F-C41F3549D47B}" cache="Slicer_Region" caption="Region" columnCount="2" style="SlicerStyleLight4" rowHeight="234950"/>
  <slicer name="Category" xr10:uid="{8595246A-A7A2-4771-84CF-A1F96D002C91}" cache="Slicer_Category" caption="Category"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BC9D14-52AB-46A3-A93C-81955E888FD2}" name="Row_Data" displayName="Row_Data" ref="B5:O255" totalsRowShown="0" headerRowDxfId="174" dataDxfId="172" headerRowBorderDxfId="173" tableBorderDxfId="171" totalsRowBorderDxfId="170">
  <autoFilter ref="B5:O255" xr:uid="{0FBC9D14-52AB-46A3-A93C-81955E888FD2}"/>
  <tableColumns count="14">
    <tableColumn id="1" xr3:uid="{82383FAB-AED1-4877-8946-2B939922E34B}" name="Transaction_ID" dataDxfId="169"/>
    <tableColumn id="2" xr3:uid="{D7E087DF-22ED-4B9E-B137-BE51403496E5}" name="Date" dataDxfId="168"/>
    <tableColumn id="3" xr3:uid="{00FA9BE0-EAEE-4039-97FA-778F2678A5D6}" name="Customer_ID" dataDxfId="167"/>
    <tableColumn id="4" xr3:uid="{024B32F4-64C9-49D4-9FEE-32980C1AC787}" name="Customer_Name" dataDxfId="166"/>
    <tableColumn id="5" xr3:uid="{7EEEBEBD-52C9-4134-B9BD-4C4799DE655D}" name="Product_ID" dataDxfId="165"/>
    <tableColumn id="6" xr3:uid="{5121272B-8B3D-47C2-9086-FB43AB2CA9EF}" name="Product_Name" dataDxfId="164"/>
    <tableColumn id="7" xr3:uid="{1FED53D5-B81E-4B28-9614-57D149692801}" name="Category" dataDxfId="163"/>
    <tableColumn id="8" xr3:uid="{51E70615-4F4F-4944-BF1A-6141D8887709}" name="Quantity" dataDxfId="162"/>
    <tableColumn id="9" xr3:uid="{91C10A3E-5449-41FA-8237-3B8E1AE3BA35}" name="Unit_Price" dataDxfId="161"/>
    <tableColumn id="10" xr3:uid="{FF937014-F1C3-46C6-9C05-FED46019CBB1}" name="Payment_Method" dataDxfId="160"/>
    <tableColumn id="11" xr3:uid="{E8D109DE-62F1-4906-8A7C-5470645251E4}" name="Region" dataDxfId="159"/>
    <tableColumn id="12" xr3:uid="{3B8D79F5-A907-4007-A355-077DC70FEF0A}" name="Customer_Segment" dataDxfId="158"/>
    <tableColumn id="13" xr3:uid="{3FC1456C-A510-487A-BFD3-D0ABE834434D}" name="Customer_Since" dataDxfId="157"/>
    <tableColumn id="14" xr3:uid="{E4FC1C1A-6B3E-4F4B-BA90-6E3631827953}" name="Total_Amount" dataDxfId="156"/>
  </tableColumns>
  <tableStyleInfo name="Table Style 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22439B8-8F52-4227-996A-A34FD242FDB5}" sourceName="Date">
  <state minimalRefreshVersion="6" lastRefreshVersion="6" pivotCacheId="2029210887" filterType="dateBetween">
    <selection startDate="2025-02-01T00:00:00" endDate="2025-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04ADAE8-5612-4CBC-965E-73F2F3602FAD}" cache="NativeTimeline_Date" caption="Date" showHorizontalScrollbar="0" level="2" selectionLevel="2" scrollPosition="2025-01-31T00:00:00" style="TimeSlicerStyleLight4"/>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4483A-FA9B-4B47-B85C-D284D8404AEA}">
  <sheetPr>
    <tabColor theme="7" tint="-0.249977111117893"/>
  </sheetPr>
  <dimension ref="B1:W7"/>
  <sheetViews>
    <sheetView showGridLines="0" tabSelected="1" zoomScale="47" zoomScaleNormal="47" workbookViewId="0">
      <selection activeCell="D2" sqref="D2:W3"/>
    </sheetView>
  </sheetViews>
  <sheetFormatPr defaultRowHeight="14.4" x14ac:dyDescent="0.3"/>
  <cols>
    <col min="1" max="1" width="4.77734375" customWidth="1"/>
    <col min="2" max="2" width="8.6640625" style="63" customWidth="1"/>
    <col min="3" max="3" width="5.109375" customWidth="1"/>
    <col min="7" max="7" width="6.6640625" customWidth="1"/>
    <col min="11" max="11" width="6.88671875" customWidth="1"/>
    <col min="15" max="15" width="7" customWidth="1"/>
    <col min="19" max="19" width="7.109375" customWidth="1"/>
    <col min="23" max="23" width="7.5546875" customWidth="1"/>
  </cols>
  <sheetData>
    <row r="1" spans="4:23" ht="17.399999999999999" customHeight="1" x14ac:dyDescent="0.3"/>
    <row r="2" spans="4:23" x14ac:dyDescent="0.3">
      <c r="D2" s="34" t="s">
        <v>503</v>
      </c>
      <c r="E2" s="34"/>
      <c r="F2" s="34"/>
      <c r="G2" s="34"/>
      <c r="H2" s="34"/>
      <c r="I2" s="34"/>
      <c r="J2" s="34"/>
      <c r="K2" s="34"/>
      <c r="L2" s="34"/>
      <c r="M2" s="34"/>
      <c r="N2" s="34"/>
      <c r="O2" s="34"/>
      <c r="P2" s="34"/>
      <c r="Q2" s="34"/>
      <c r="R2" s="34"/>
      <c r="S2" s="34"/>
      <c r="T2" s="34"/>
      <c r="U2" s="34"/>
      <c r="V2" s="34"/>
      <c r="W2" s="34"/>
    </row>
    <row r="3" spans="4:23" x14ac:dyDescent="0.3">
      <c r="D3" s="34"/>
      <c r="E3" s="34"/>
      <c r="F3" s="34"/>
      <c r="G3" s="34"/>
      <c r="H3" s="34"/>
      <c r="I3" s="34"/>
      <c r="J3" s="34"/>
      <c r="K3" s="34"/>
      <c r="L3" s="34"/>
      <c r="M3" s="34"/>
      <c r="N3" s="34"/>
      <c r="O3" s="34"/>
      <c r="P3" s="34"/>
      <c r="Q3" s="34"/>
      <c r="R3" s="34"/>
      <c r="S3" s="34"/>
      <c r="T3" s="34"/>
      <c r="U3" s="34"/>
      <c r="V3" s="34"/>
      <c r="W3" s="34"/>
    </row>
    <row r="6" spans="4:23" ht="17.399999999999999" x14ac:dyDescent="0.3">
      <c r="D6" s="35" t="s">
        <v>498</v>
      </c>
      <c r="E6" s="35"/>
      <c r="F6" s="35"/>
      <c r="G6" s="35"/>
      <c r="H6" s="36" t="s">
        <v>499</v>
      </c>
      <c r="I6" s="36"/>
      <c r="J6" s="36"/>
      <c r="K6" s="36"/>
      <c r="L6" s="37" t="s">
        <v>500</v>
      </c>
      <c r="M6" s="37"/>
      <c r="N6" s="37"/>
      <c r="O6" s="37"/>
      <c r="P6" s="38" t="s">
        <v>501</v>
      </c>
      <c r="Q6" s="38"/>
      <c r="R6" s="38"/>
      <c r="S6" s="38"/>
      <c r="T6" s="39" t="s">
        <v>502</v>
      </c>
      <c r="U6" s="39"/>
      <c r="V6" s="39"/>
      <c r="W6" s="39"/>
    </row>
    <row r="7" spans="4:23" ht="18" x14ac:dyDescent="0.3">
      <c r="D7" s="32">
        <f>SUM(Row_Data[Total_Amount])</f>
        <v>229192.47000000032</v>
      </c>
      <c r="E7" s="32"/>
      <c r="F7" s="32"/>
      <c r="G7" s="32"/>
      <c r="H7" s="33">
        <f>COUNTA(Row_Data[Transaction_ID])</f>
        <v>250</v>
      </c>
      <c r="I7" s="33"/>
      <c r="J7" s="33"/>
      <c r="K7" s="33"/>
      <c r="L7" s="32">
        <f>AVERAGE(Row_Data[Total_Amount])</f>
        <v>916.76988000000131</v>
      </c>
      <c r="M7" s="32"/>
      <c r="N7" s="32"/>
      <c r="O7" s="32"/>
      <c r="P7" s="33">
        <f>COUNTA(_xlfn.UNIQUE(Row_Data[Customer_Name]))</f>
        <v>50</v>
      </c>
      <c r="Q7" s="33"/>
      <c r="R7" s="33"/>
      <c r="S7" s="33"/>
      <c r="T7" s="33">
        <f>SUM(Row_Data[Quantity])</f>
        <v>753</v>
      </c>
      <c r="U7" s="33"/>
      <c r="V7" s="33"/>
      <c r="W7" s="33"/>
    </row>
  </sheetData>
  <sheetProtection selectLockedCells="1" selectUnlockedCells="1"/>
  <mergeCells count="11">
    <mergeCell ref="D2:W3"/>
    <mergeCell ref="D6:G6"/>
    <mergeCell ref="H6:K6"/>
    <mergeCell ref="L6:O6"/>
    <mergeCell ref="P6:S6"/>
    <mergeCell ref="T6:W6"/>
    <mergeCell ref="D7:G7"/>
    <mergeCell ref="H7:K7"/>
    <mergeCell ref="L7:O7"/>
    <mergeCell ref="P7:S7"/>
    <mergeCell ref="T7:W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249977111117893"/>
  </sheetPr>
  <dimension ref="B2:AA1004"/>
  <sheetViews>
    <sheetView workbookViewId="0">
      <selection activeCell="B2" sqref="B2:O3"/>
    </sheetView>
  </sheetViews>
  <sheetFormatPr defaultColWidth="14.44140625" defaultRowHeight="15" customHeight="1" x14ac:dyDescent="0.3"/>
  <cols>
    <col min="1" max="1" width="4.77734375" customWidth="1"/>
    <col min="2" max="2" width="15.44140625" customWidth="1"/>
    <col min="3" max="3" width="10.88671875" customWidth="1"/>
    <col min="4" max="4" width="13.77734375" customWidth="1"/>
    <col min="5" max="5" width="17" customWidth="1"/>
    <col min="6" max="6" width="12.33203125" customWidth="1"/>
    <col min="7" max="7" width="15.5546875" customWidth="1"/>
    <col min="8" max="8" width="10.44140625" customWidth="1"/>
    <col min="9" max="9" width="10.21875" customWidth="1"/>
    <col min="10" max="10" width="11.5546875" customWidth="1"/>
    <col min="11" max="11" width="18.21875" customWidth="1"/>
    <col min="12" max="12" width="8.6640625" customWidth="1"/>
    <col min="13" max="13" width="19.44140625" customWidth="1"/>
    <col min="14" max="14" width="16.44140625" customWidth="1"/>
    <col min="15" max="15" width="15" customWidth="1"/>
    <col min="16" max="27" width="8.6640625" customWidth="1"/>
  </cols>
  <sheetData>
    <row r="2" spans="2:27" ht="15" customHeight="1" x14ac:dyDescent="0.3">
      <c r="B2" s="40" t="s">
        <v>588</v>
      </c>
      <c r="C2" s="40"/>
      <c r="D2" s="40"/>
      <c r="E2" s="40"/>
      <c r="F2" s="40"/>
      <c r="G2" s="40"/>
      <c r="H2" s="40"/>
      <c r="I2" s="40"/>
      <c r="J2" s="40"/>
      <c r="K2" s="40"/>
      <c r="L2" s="40"/>
      <c r="M2" s="40"/>
      <c r="N2" s="40"/>
      <c r="O2" s="40"/>
    </row>
    <row r="3" spans="2:27" ht="15" customHeight="1" x14ac:dyDescent="0.3">
      <c r="B3" s="40"/>
      <c r="C3" s="40"/>
      <c r="D3" s="40"/>
      <c r="E3" s="40"/>
      <c r="F3" s="40"/>
      <c r="G3" s="40"/>
      <c r="H3" s="40"/>
      <c r="I3" s="40"/>
      <c r="J3" s="40"/>
      <c r="K3" s="40"/>
      <c r="L3" s="40"/>
      <c r="M3" s="40"/>
      <c r="N3" s="40"/>
      <c r="O3" s="40"/>
    </row>
    <row r="5" spans="2:27" ht="15.6" x14ac:dyDescent="0.3">
      <c r="B5" s="8" t="s">
        <v>0</v>
      </c>
      <c r="C5" s="9" t="s">
        <v>1</v>
      </c>
      <c r="D5" s="9" t="s">
        <v>2</v>
      </c>
      <c r="E5" s="9" t="s">
        <v>3</v>
      </c>
      <c r="F5" s="9" t="s">
        <v>4</v>
      </c>
      <c r="G5" s="9" t="s">
        <v>5</v>
      </c>
      <c r="H5" s="9" t="s">
        <v>6</v>
      </c>
      <c r="I5" s="9" t="s">
        <v>7</v>
      </c>
      <c r="J5" s="9" t="s">
        <v>8</v>
      </c>
      <c r="K5" s="9" t="s">
        <v>9</v>
      </c>
      <c r="L5" s="9" t="s">
        <v>10</v>
      </c>
      <c r="M5" s="9" t="s">
        <v>11</v>
      </c>
      <c r="N5" s="9" t="s">
        <v>12</v>
      </c>
      <c r="O5" s="10" t="s">
        <v>13</v>
      </c>
      <c r="P5" s="1"/>
      <c r="Q5" s="1"/>
      <c r="R5" s="1"/>
      <c r="S5" s="1"/>
      <c r="T5" s="1"/>
      <c r="U5" s="1"/>
      <c r="V5" s="1"/>
      <c r="W5" s="1"/>
      <c r="X5" s="1"/>
      <c r="Y5" s="1"/>
      <c r="Z5" s="1"/>
      <c r="AA5" s="1"/>
    </row>
    <row r="6" spans="2:27" ht="14.4" x14ac:dyDescent="0.3">
      <c r="B6" s="11" t="s">
        <v>14</v>
      </c>
      <c r="C6" s="12">
        <v>45393</v>
      </c>
      <c r="D6" s="13" t="s">
        <v>15</v>
      </c>
      <c r="E6" s="13" t="s">
        <v>16</v>
      </c>
      <c r="F6" s="13" t="s">
        <v>17</v>
      </c>
      <c r="G6" s="13" t="s">
        <v>18</v>
      </c>
      <c r="H6" s="13" t="s">
        <v>19</v>
      </c>
      <c r="I6" s="13">
        <v>3</v>
      </c>
      <c r="J6" s="19">
        <v>249.99</v>
      </c>
      <c r="K6" s="13" t="s">
        <v>20</v>
      </c>
      <c r="L6" s="13" t="s">
        <v>21</v>
      </c>
      <c r="M6" s="13" t="s">
        <v>22</v>
      </c>
      <c r="N6" s="12">
        <v>44425</v>
      </c>
      <c r="O6" s="17">
        <v>749.97</v>
      </c>
    </row>
    <row r="7" spans="2:27" ht="14.4" x14ac:dyDescent="0.3">
      <c r="B7" s="11" t="s">
        <v>23</v>
      </c>
      <c r="C7" s="12">
        <v>45396</v>
      </c>
      <c r="D7" s="13" t="s">
        <v>24</v>
      </c>
      <c r="E7" s="13" t="s">
        <v>25</v>
      </c>
      <c r="F7" s="13" t="s">
        <v>17</v>
      </c>
      <c r="G7" s="13" t="s">
        <v>18</v>
      </c>
      <c r="H7" s="13" t="s">
        <v>19</v>
      </c>
      <c r="I7" s="13">
        <v>3</v>
      </c>
      <c r="J7" s="19">
        <v>249.99</v>
      </c>
      <c r="K7" s="13" t="s">
        <v>26</v>
      </c>
      <c r="L7" s="13" t="s">
        <v>21</v>
      </c>
      <c r="M7" s="13" t="s">
        <v>27</v>
      </c>
      <c r="N7" s="12">
        <v>44575</v>
      </c>
      <c r="O7" s="17">
        <v>749.97</v>
      </c>
    </row>
    <row r="8" spans="2:27" ht="14.4" x14ac:dyDescent="0.3">
      <c r="B8" s="11" t="s">
        <v>28</v>
      </c>
      <c r="C8" s="12">
        <v>45399</v>
      </c>
      <c r="D8" s="13" t="s">
        <v>29</v>
      </c>
      <c r="E8" s="13" t="s">
        <v>30</v>
      </c>
      <c r="F8" s="13" t="s">
        <v>31</v>
      </c>
      <c r="G8" s="13" t="s">
        <v>32</v>
      </c>
      <c r="H8" s="13" t="s">
        <v>33</v>
      </c>
      <c r="I8" s="13">
        <v>3</v>
      </c>
      <c r="J8" s="19">
        <v>59.99</v>
      </c>
      <c r="K8" s="13" t="s">
        <v>34</v>
      </c>
      <c r="L8" s="13" t="s">
        <v>35</v>
      </c>
      <c r="M8" s="13" t="s">
        <v>36</v>
      </c>
      <c r="N8" s="12">
        <v>45262</v>
      </c>
      <c r="O8" s="17">
        <v>179.97</v>
      </c>
    </row>
    <row r="9" spans="2:27" ht="14.4" x14ac:dyDescent="0.3">
      <c r="B9" s="11" t="s">
        <v>37</v>
      </c>
      <c r="C9" s="12">
        <v>45400</v>
      </c>
      <c r="D9" s="13" t="s">
        <v>38</v>
      </c>
      <c r="E9" s="13" t="s">
        <v>39</v>
      </c>
      <c r="F9" s="13" t="s">
        <v>31</v>
      </c>
      <c r="G9" s="13" t="s">
        <v>32</v>
      </c>
      <c r="H9" s="13" t="s">
        <v>33</v>
      </c>
      <c r="I9" s="13">
        <v>3</v>
      </c>
      <c r="J9" s="19">
        <v>59.99</v>
      </c>
      <c r="K9" s="13" t="s">
        <v>20</v>
      </c>
      <c r="L9" s="13" t="s">
        <v>40</v>
      </c>
      <c r="M9" s="13" t="s">
        <v>27</v>
      </c>
      <c r="N9" s="12">
        <v>45114</v>
      </c>
      <c r="O9" s="17">
        <v>179.97</v>
      </c>
    </row>
    <row r="10" spans="2:27" ht="14.4" x14ac:dyDescent="0.3">
      <c r="B10" s="11" t="s">
        <v>41</v>
      </c>
      <c r="C10" s="12">
        <v>45400</v>
      </c>
      <c r="D10" s="13" t="s">
        <v>42</v>
      </c>
      <c r="E10" s="13" t="s">
        <v>43</v>
      </c>
      <c r="F10" s="13" t="s">
        <v>44</v>
      </c>
      <c r="G10" s="13" t="s">
        <v>45</v>
      </c>
      <c r="H10" s="13" t="s">
        <v>46</v>
      </c>
      <c r="I10" s="13">
        <v>5</v>
      </c>
      <c r="J10" s="19">
        <v>149.99</v>
      </c>
      <c r="K10" s="13" t="s">
        <v>26</v>
      </c>
      <c r="L10" s="13" t="s">
        <v>40</v>
      </c>
      <c r="M10" s="13" t="s">
        <v>27</v>
      </c>
      <c r="N10" s="12">
        <v>45295</v>
      </c>
      <c r="O10" s="17">
        <v>749.95</v>
      </c>
    </row>
    <row r="11" spans="2:27" ht="14.4" x14ac:dyDescent="0.3">
      <c r="B11" s="11" t="s">
        <v>47</v>
      </c>
      <c r="C11" s="12">
        <v>45403</v>
      </c>
      <c r="D11" s="13" t="s">
        <v>48</v>
      </c>
      <c r="E11" s="13" t="s">
        <v>49</v>
      </c>
      <c r="F11" s="13" t="s">
        <v>31</v>
      </c>
      <c r="G11" s="13" t="s">
        <v>32</v>
      </c>
      <c r="H11" s="13" t="s">
        <v>33</v>
      </c>
      <c r="I11" s="13">
        <v>2</v>
      </c>
      <c r="J11" s="19">
        <v>59.99</v>
      </c>
      <c r="K11" s="13" t="s">
        <v>20</v>
      </c>
      <c r="L11" s="13" t="s">
        <v>50</v>
      </c>
      <c r="M11" s="13" t="s">
        <v>36</v>
      </c>
      <c r="N11" s="12">
        <v>44746</v>
      </c>
      <c r="O11" s="17">
        <v>119.98</v>
      </c>
    </row>
    <row r="12" spans="2:27" ht="14.4" x14ac:dyDescent="0.3">
      <c r="B12" s="11" t="s">
        <v>51</v>
      </c>
      <c r="C12" s="12">
        <v>45403</v>
      </c>
      <c r="D12" s="13" t="s">
        <v>48</v>
      </c>
      <c r="E12" s="13" t="s">
        <v>49</v>
      </c>
      <c r="F12" s="13" t="s">
        <v>52</v>
      </c>
      <c r="G12" s="13" t="s">
        <v>53</v>
      </c>
      <c r="H12" s="13" t="s">
        <v>19</v>
      </c>
      <c r="I12" s="13">
        <v>5</v>
      </c>
      <c r="J12" s="19">
        <v>149.99</v>
      </c>
      <c r="K12" s="13" t="s">
        <v>26</v>
      </c>
      <c r="L12" s="13" t="s">
        <v>21</v>
      </c>
      <c r="M12" s="13" t="s">
        <v>36</v>
      </c>
      <c r="N12" s="12">
        <v>44418</v>
      </c>
      <c r="O12" s="17">
        <v>749.95</v>
      </c>
    </row>
    <row r="13" spans="2:27" ht="14.4" x14ac:dyDescent="0.3">
      <c r="B13" s="11" t="s">
        <v>54</v>
      </c>
      <c r="C13" s="12">
        <v>45403</v>
      </c>
      <c r="D13" s="13" t="s">
        <v>55</v>
      </c>
      <c r="E13" s="13" t="s">
        <v>56</v>
      </c>
      <c r="F13" s="13" t="s">
        <v>31</v>
      </c>
      <c r="G13" s="13" t="s">
        <v>32</v>
      </c>
      <c r="H13" s="13" t="s">
        <v>33</v>
      </c>
      <c r="I13" s="13">
        <v>3</v>
      </c>
      <c r="J13" s="19">
        <v>59.99</v>
      </c>
      <c r="K13" s="13" t="s">
        <v>57</v>
      </c>
      <c r="L13" s="13" t="s">
        <v>35</v>
      </c>
      <c r="M13" s="13" t="s">
        <v>22</v>
      </c>
      <c r="N13" s="12">
        <v>45007</v>
      </c>
      <c r="O13" s="17">
        <v>179.97</v>
      </c>
    </row>
    <row r="14" spans="2:27" ht="14.4" x14ac:dyDescent="0.3">
      <c r="B14" s="11" t="s">
        <v>58</v>
      </c>
      <c r="C14" s="12">
        <v>45405</v>
      </c>
      <c r="D14" s="13" t="s">
        <v>59</v>
      </c>
      <c r="E14" s="13" t="s">
        <v>60</v>
      </c>
      <c r="F14" s="13" t="s">
        <v>61</v>
      </c>
      <c r="G14" s="13" t="s">
        <v>62</v>
      </c>
      <c r="H14" s="13" t="s">
        <v>19</v>
      </c>
      <c r="I14" s="13">
        <v>3</v>
      </c>
      <c r="J14" s="19">
        <v>899.99</v>
      </c>
      <c r="K14" s="13" t="s">
        <v>34</v>
      </c>
      <c r="L14" s="13" t="s">
        <v>63</v>
      </c>
      <c r="M14" s="13" t="s">
        <v>36</v>
      </c>
      <c r="N14" s="12">
        <v>45299</v>
      </c>
      <c r="O14" s="17">
        <v>2699.97</v>
      </c>
    </row>
    <row r="15" spans="2:27" ht="14.4" x14ac:dyDescent="0.3">
      <c r="B15" s="11" t="s">
        <v>64</v>
      </c>
      <c r="C15" s="12">
        <v>45408</v>
      </c>
      <c r="D15" s="13" t="s">
        <v>65</v>
      </c>
      <c r="E15" s="13" t="s">
        <v>66</v>
      </c>
      <c r="F15" s="13" t="s">
        <v>31</v>
      </c>
      <c r="G15" s="13" t="s">
        <v>32</v>
      </c>
      <c r="H15" s="13" t="s">
        <v>33</v>
      </c>
      <c r="I15" s="13">
        <v>3</v>
      </c>
      <c r="J15" s="19">
        <v>59.99</v>
      </c>
      <c r="K15" s="13" t="s">
        <v>20</v>
      </c>
      <c r="L15" s="13" t="s">
        <v>50</v>
      </c>
      <c r="M15" s="13" t="s">
        <v>27</v>
      </c>
      <c r="N15" s="12">
        <v>45207</v>
      </c>
      <c r="O15" s="17">
        <v>179.97</v>
      </c>
    </row>
    <row r="16" spans="2:27" ht="14.4" x14ac:dyDescent="0.3">
      <c r="B16" s="11" t="s">
        <v>67</v>
      </c>
      <c r="C16" s="12">
        <v>45408</v>
      </c>
      <c r="D16" s="13" t="s">
        <v>68</v>
      </c>
      <c r="E16" s="13" t="s">
        <v>69</v>
      </c>
      <c r="F16" s="13" t="s">
        <v>44</v>
      </c>
      <c r="G16" s="13" t="s">
        <v>45</v>
      </c>
      <c r="H16" s="13" t="s">
        <v>46</v>
      </c>
      <c r="I16" s="13">
        <v>1</v>
      </c>
      <c r="J16" s="19">
        <v>149.99</v>
      </c>
      <c r="K16" s="13" t="s">
        <v>26</v>
      </c>
      <c r="L16" s="13" t="s">
        <v>50</v>
      </c>
      <c r="M16" s="13" t="s">
        <v>36</v>
      </c>
      <c r="N16" s="12">
        <v>45103</v>
      </c>
      <c r="O16" s="17">
        <v>149.99</v>
      </c>
    </row>
    <row r="17" spans="2:15" ht="14.4" x14ac:dyDescent="0.3">
      <c r="B17" s="11" t="s">
        <v>70</v>
      </c>
      <c r="C17" s="12">
        <v>45408</v>
      </c>
      <c r="D17" s="13" t="s">
        <v>38</v>
      </c>
      <c r="E17" s="13" t="s">
        <v>39</v>
      </c>
      <c r="F17" s="13" t="s">
        <v>44</v>
      </c>
      <c r="G17" s="13" t="s">
        <v>45</v>
      </c>
      <c r="H17" s="13" t="s">
        <v>46</v>
      </c>
      <c r="I17" s="13">
        <v>5</v>
      </c>
      <c r="J17" s="19">
        <v>149.99</v>
      </c>
      <c r="K17" s="13" t="s">
        <v>57</v>
      </c>
      <c r="L17" s="13" t="s">
        <v>40</v>
      </c>
      <c r="M17" s="13" t="s">
        <v>22</v>
      </c>
      <c r="N17" s="12">
        <v>44830</v>
      </c>
      <c r="O17" s="17">
        <v>749.95</v>
      </c>
    </row>
    <row r="18" spans="2:15" ht="14.4" x14ac:dyDescent="0.3">
      <c r="B18" s="11" t="s">
        <v>71</v>
      </c>
      <c r="C18" s="12">
        <v>45408</v>
      </c>
      <c r="D18" s="13" t="s">
        <v>72</v>
      </c>
      <c r="E18" s="13" t="s">
        <v>73</v>
      </c>
      <c r="F18" s="13" t="s">
        <v>44</v>
      </c>
      <c r="G18" s="13" t="s">
        <v>45</v>
      </c>
      <c r="H18" s="13" t="s">
        <v>46</v>
      </c>
      <c r="I18" s="13">
        <v>3</v>
      </c>
      <c r="J18" s="19">
        <v>149.99</v>
      </c>
      <c r="K18" s="13" t="s">
        <v>20</v>
      </c>
      <c r="L18" s="13" t="s">
        <v>40</v>
      </c>
      <c r="M18" s="13" t="s">
        <v>27</v>
      </c>
      <c r="N18" s="12">
        <v>44806</v>
      </c>
      <c r="O18" s="17">
        <v>449.97</v>
      </c>
    </row>
    <row r="19" spans="2:15" ht="14.4" x14ac:dyDescent="0.3">
      <c r="B19" s="11" t="s">
        <v>74</v>
      </c>
      <c r="C19" s="12">
        <v>45409</v>
      </c>
      <c r="D19" s="13" t="s">
        <v>75</v>
      </c>
      <c r="E19" s="13" t="s">
        <v>76</v>
      </c>
      <c r="F19" s="13" t="s">
        <v>31</v>
      </c>
      <c r="G19" s="13" t="s">
        <v>32</v>
      </c>
      <c r="H19" s="13" t="s">
        <v>33</v>
      </c>
      <c r="I19" s="13">
        <v>3</v>
      </c>
      <c r="J19" s="19">
        <v>59.99</v>
      </c>
      <c r="K19" s="13" t="s">
        <v>26</v>
      </c>
      <c r="L19" s="13" t="s">
        <v>40</v>
      </c>
      <c r="M19" s="13" t="s">
        <v>36</v>
      </c>
      <c r="N19" s="12">
        <v>45351</v>
      </c>
      <c r="O19" s="17">
        <v>179.97</v>
      </c>
    </row>
    <row r="20" spans="2:15" ht="14.4" x14ac:dyDescent="0.3">
      <c r="B20" s="11" t="s">
        <v>77</v>
      </c>
      <c r="C20" s="12">
        <v>45409</v>
      </c>
      <c r="D20" s="13" t="s">
        <v>78</v>
      </c>
      <c r="E20" s="13" t="s">
        <v>79</v>
      </c>
      <c r="F20" s="13" t="s">
        <v>80</v>
      </c>
      <c r="G20" s="13" t="s">
        <v>81</v>
      </c>
      <c r="H20" s="13" t="s">
        <v>19</v>
      </c>
      <c r="I20" s="13">
        <v>3</v>
      </c>
      <c r="J20" s="19">
        <v>699.99</v>
      </c>
      <c r="K20" s="13" t="s">
        <v>26</v>
      </c>
      <c r="L20" s="13" t="s">
        <v>50</v>
      </c>
      <c r="M20" s="13" t="s">
        <v>22</v>
      </c>
      <c r="N20" s="12">
        <v>44577</v>
      </c>
      <c r="O20" s="17">
        <v>2099.9699999999998</v>
      </c>
    </row>
    <row r="21" spans="2:15" ht="14.4" x14ac:dyDescent="0.3">
      <c r="B21" s="11" t="s">
        <v>82</v>
      </c>
      <c r="C21" s="12">
        <v>45409</v>
      </c>
      <c r="D21" s="13" t="s">
        <v>83</v>
      </c>
      <c r="E21" s="13" t="s">
        <v>84</v>
      </c>
      <c r="F21" s="13" t="s">
        <v>61</v>
      </c>
      <c r="G21" s="13" t="s">
        <v>62</v>
      </c>
      <c r="H21" s="13" t="s">
        <v>19</v>
      </c>
      <c r="I21" s="13">
        <v>1</v>
      </c>
      <c r="J21" s="19">
        <v>899.99</v>
      </c>
      <c r="K21" s="13" t="s">
        <v>57</v>
      </c>
      <c r="L21" s="13" t="s">
        <v>40</v>
      </c>
      <c r="M21" s="13" t="s">
        <v>36</v>
      </c>
      <c r="N21" s="12">
        <v>44920</v>
      </c>
      <c r="O21" s="17">
        <v>899.99</v>
      </c>
    </row>
    <row r="22" spans="2:15" ht="14.4" x14ac:dyDescent="0.3">
      <c r="B22" s="11" t="s">
        <v>85</v>
      </c>
      <c r="C22" s="12">
        <v>45410</v>
      </c>
      <c r="D22" s="13" t="s">
        <v>86</v>
      </c>
      <c r="E22" s="13" t="s">
        <v>87</v>
      </c>
      <c r="F22" s="13" t="s">
        <v>44</v>
      </c>
      <c r="G22" s="13" t="s">
        <v>45</v>
      </c>
      <c r="H22" s="13" t="s">
        <v>46</v>
      </c>
      <c r="I22" s="13">
        <v>4</v>
      </c>
      <c r="J22" s="19">
        <v>149.99</v>
      </c>
      <c r="K22" s="13" t="s">
        <v>57</v>
      </c>
      <c r="L22" s="13" t="s">
        <v>40</v>
      </c>
      <c r="M22" s="13" t="s">
        <v>27</v>
      </c>
      <c r="N22" s="12">
        <v>45374</v>
      </c>
      <c r="O22" s="17">
        <v>599.96</v>
      </c>
    </row>
    <row r="23" spans="2:15" ht="14.4" x14ac:dyDescent="0.3">
      <c r="B23" s="11" t="s">
        <v>88</v>
      </c>
      <c r="C23" s="12">
        <v>45410</v>
      </c>
      <c r="D23" s="13" t="s">
        <v>89</v>
      </c>
      <c r="E23" s="13" t="s">
        <v>90</v>
      </c>
      <c r="F23" s="13" t="s">
        <v>80</v>
      </c>
      <c r="G23" s="13" t="s">
        <v>81</v>
      </c>
      <c r="H23" s="13" t="s">
        <v>19</v>
      </c>
      <c r="I23" s="13">
        <v>2</v>
      </c>
      <c r="J23" s="19">
        <v>699.99</v>
      </c>
      <c r="K23" s="13" t="s">
        <v>20</v>
      </c>
      <c r="L23" s="13" t="s">
        <v>40</v>
      </c>
      <c r="M23" s="13" t="s">
        <v>22</v>
      </c>
      <c r="N23" s="12">
        <v>44781</v>
      </c>
      <c r="O23" s="17">
        <v>1399.98</v>
      </c>
    </row>
    <row r="24" spans="2:15" ht="14.4" x14ac:dyDescent="0.3">
      <c r="B24" s="11" t="s">
        <v>91</v>
      </c>
      <c r="C24" s="12">
        <v>45410</v>
      </c>
      <c r="D24" s="13" t="s">
        <v>86</v>
      </c>
      <c r="E24" s="13" t="s">
        <v>87</v>
      </c>
      <c r="F24" s="13" t="s">
        <v>61</v>
      </c>
      <c r="G24" s="13" t="s">
        <v>62</v>
      </c>
      <c r="H24" s="13" t="s">
        <v>19</v>
      </c>
      <c r="I24" s="13">
        <v>4</v>
      </c>
      <c r="J24" s="19">
        <v>899.99</v>
      </c>
      <c r="K24" s="13" t="s">
        <v>26</v>
      </c>
      <c r="L24" s="13" t="s">
        <v>50</v>
      </c>
      <c r="M24" s="13" t="s">
        <v>36</v>
      </c>
      <c r="N24" s="12">
        <v>45327</v>
      </c>
      <c r="O24" s="17">
        <v>3599.96</v>
      </c>
    </row>
    <row r="25" spans="2:15" ht="15.75" customHeight="1" x14ac:dyDescent="0.3">
      <c r="B25" s="11" t="s">
        <v>92</v>
      </c>
      <c r="C25" s="12">
        <v>45410</v>
      </c>
      <c r="D25" s="13" t="s">
        <v>93</v>
      </c>
      <c r="E25" s="13" t="s">
        <v>94</v>
      </c>
      <c r="F25" s="13" t="s">
        <v>17</v>
      </c>
      <c r="G25" s="13" t="s">
        <v>18</v>
      </c>
      <c r="H25" s="13" t="s">
        <v>19</v>
      </c>
      <c r="I25" s="13">
        <v>3</v>
      </c>
      <c r="J25" s="19">
        <v>249.99</v>
      </c>
      <c r="K25" s="13" t="s">
        <v>26</v>
      </c>
      <c r="L25" s="13" t="s">
        <v>40</v>
      </c>
      <c r="M25" s="13" t="s">
        <v>27</v>
      </c>
      <c r="N25" s="12">
        <v>45224</v>
      </c>
      <c r="O25" s="17">
        <v>749.97</v>
      </c>
    </row>
    <row r="26" spans="2:15" ht="15.75" customHeight="1" x14ac:dyDescent="0.3">
      <c r="B26" s="11" t="s">
        <v>95</v>
      </c>
      <c r="C26" s="12">
        <v>45412</v>
      </c>
      <c r="D26" s="13" t="s">
        <v>96</v>
      </c>
      <c r="E26" s="13" t="s">
        <v>97</v>
      </c>
      <c r="F26" s="13" t="s">
        <v>80</v>
      </c>
      <c r="G26" s="13" t="s">
        <v>81</v>
      </c>
      <c r="H26" s="13" t="s">
        <v>19</v>
      </c>
      <c r="I26" s="13">
        <v>5</v>
      </c>
      <c r="J26" s="19">
        <v>699.99</v>
      </c>
      <c r="K26" s="13" t="s">
        <v>20</v>
      </c>
      <c r="L26" s="13" t="s">
        <v>50</v>
      </c>
      <c r="M26" s="13" t="s">
        <v>22</v>
      </c>
      <c r="N26" s="12">
        <v>45167</v>
      </c>
      <c r="O26" s="17">
        <v>3499.95</v>
      </c>
    </row>
    <row r="27" spans="2:15" ht="15.75" customHeight="1" x14ac:dyDescent="0.3">
      <c r="B27" s="11" t="s">
        <v>98</v>
      </c>
      <c r="C27" s="12">
        <v>45413</v>
      </c>
      <c r="D27" s="13" t="s">
        <v>99</v>
      </c>
      <c r="E27" s="13" t="s">
        <v>100</v>
      </c>
      <c r="F27" s="13" t="s">
        <v>80</v>
      </c>
      <c r="G27" s="13" t="s">
        <v>81</v>
      </c>
      <c r="H27" s="13" t="s">
        <v>19</v>
      </c>
      <c r="I27" s="13">
        <v>4</v>
      </c>
      <c r="J27" s="19">
        <v>699.99</v>
      </c>
      <c r="K27" s="13" t="s">
        <v>20</v>
      </c>
      <c r="L27" s="13" t="s">
        <v>63</v>
      </c>
      <c r="M27" s="13" t="s">
        <v>36</v>
      </c>
      <c r="N27" s="12">
        <v>44409</v>
      </c>
      <c r="O27" s="17">
        <v>2799.96</v>
      </c>
    </row>
    <row r="28" spans="2:15" ht="15.75" customHeight="1" x14ac:dyDescent="0.3">
      <c r="B28" s="11" t="s">
        <v>101</v>
      </c>
      <c r="C28" s="12">
        <v>45415</v>
      </c>
      <c r="D28" s="13" t="s">
        <v>102</v>
      </c>
      <c r="E28" s="13" t="s">
        <v>103</v>
      </c>
      <c r="F28" s="13" t="s">
        <v>17</v>
      </c>
      <c r="G28" s="13" t="s">
        <v>18</v>
      </c>
      <c r="H28" s="13" t="s">
        <v>19</v>
      </c>
      <c r="I28" s="13">
        <v>4</v>
      </c>
      <c r="J28" s="19">
        <v>249.99</v>
      </c>
      <c r="K28" s="13" t="s">
        <v>34</v>
      </c>
      <c r="L28" s="13" t="s">
        <v>40</v>
      </c>
      <c r="M28" s="13" t="s">
        <v>36</v>
      </c>
      <c r="N28" s="12">
        <v>44468</v>
      </c>
      <c r="O28" s="17">
        <v>999.96</v>
      </c>
    </row>
    <row r="29" spans="2:15" ht="15.75" customHeight="1" x14ac:dyDescent="0.3">
      <c r="B29" s="11" t="s">
        <v>104</v>
      </c>
      <c r="C29" s="12">
        <v>45416</v>
      </c>
      <c r="D29" s="13" t="s">
        <v>86</v>
      </c>
      <c r="E29" s="13" t="s">
        <v>87</v>
      </c>
      <c r="F29" s="13" t="s">
        <v>105</v>
      </c>
      <c r="G29" s="13" t="s">
        <v>106</v>
      </c>
      <c r="H29" s="13" t="s">
        <v>46</v>
      </c>
      <c r="I29" s="13">
        <v>4</v>
      </c>
      <c r="J29" s="19">
        <v>299.99</v>
      </c>
      <c r="K29" s="13" t="s">
        <v>20</v>
      </c>
      <c r="L29" s="13" t="s">
        <v>50</v>
      </c>
      <c r="M29" s="13" t="s">
        <v>27</v>
      </c>
      <c r="N29" s="12">
        <v>44716</v>
      </c>
      <c r="O29" s="17">
        <v>1199.96</v>
      </c>
    </row>
    <row r="30" spans="2:15" ht="15.75" customHeight="1" x14ac:dyDescent="0.3">
      <c r="B30" s="11" t="s">
        <v>107</v>
      </c>
      <c r="C30" s="12">
        <v>45422</v>
      </c>
      <c r="D30" s="13" t="s">
        <v>108</v>
      </c>
      <c r="E30" s="13" t="s">
        <v>109</v>
      </c>
      <c r="F30" s="13" t="s">
        <v>17</v>
      </c>
      <c r="G30" s="13" t="s">
        <v>18</v>
      </c>
      <c r="H30" s="13" t="s">
        <v>19</v>
      </c>
      <c r="I30" s="13">
        <v>5</v>
      </c>
      <c r="J30" s="19">
        <v>249.99</v>
      </c>
      <c r="K30" s="13" t="s">
        <v>26</v>
      </c>
      <c r="L30" s="13" t="s">
        <v>50</v>
      </c>
      <c r="M30" s="13" t="s">
        <v>36</v>
      </c>
      <c r="N30" s="12">
        <v>44525</v>
      </c>
      <c r="O30" s="17">
        <v>1249.95</v>
      </c>
    </row>
    <row r="31" spans="2:15" ht="15.75" customHeight="1" x14ac:dyDescent="0.3">
      <c r="B31" s="11" t="s">
        <v>110</v>
      </c>
      <c r="C31" s="12">
        <v>45424</v>
      </c>
      <c r="D31" s="13" t="s">
        <v>68</v>
      </c>
      <c r="E31" s="13" t="s">
        <v>69</v>
      </c>
      <c r="F31" s="13" t="s">
        <v>105</v>
      </c>
      <c r="G31" s="13" t="s">
        <v>106</v>
      </c>
      <c r="H31" s="13" t="s">
        <v>46</v>
      </c>
      <c r="I31" s="13">
        <v>5</v>
      </c>
      <c r="J31" s="19">
        <v>299.99</v>
      </c>
      <c r="K31" s="13" t="s">
        <v>34</v>
      </c>
      <c r="L31" s="13" t="s">
        <v>63</v>
      </c>
      <c r="M31" s="13" t="s">
        <v>22</v>
      </c>
      <c r="N31" s="12">
        <v>45168</v>
      </c>
      <c r="O31" s="17">
        <v>1499.95</v>
      </c>
    </row>
    <row r="32" spans="2:15" ht="15.75" customHeight="1" x14ac:dyDescent="0.3">
      <c r="B32" s="11" t="s">
        <v>111</v>
      </c>
      <c r="C32" s="12">
        <v>45424</v>
      </c>
      <c r="D32" s="13" t="s">
        <v>112</v>
      </c>
      <c r="E32" s="13" t="s">
        <v>113</v>
      </c>
      <c r="F32" s="13" t="s">
        <v>114</v>
      </c>
      <c r="G32" s="13" t="s">
        <v>115</v>
      </c>
      <c r="H32" s="13" t="s">
        <v>33</v>
      </c>
      <c r="I32" s="13">
        <v>3</v>
      </c>
      <c r="J32" s="19">
        <v>79.989999999999995</v>
      </c>
      <c r="K32" s="13" t="s">
        <v>34</v>
      </c>
      <c r="L32" s="13" t="s">
        <v>63</v>
      </c>
      <c r="M32" s="13" t="s">
        <v>27</v>
      </c>
      <c r="N32" s="12">
        <v>45012</v>
      </c>
      <c r="O32" s="17">
        <v>239.97</v>
      </c>
    </row>
    <row r="33" spans="2:15" ht="15.75" customHeight="1" x14ac:dyDescent="0.3">
      <c r="B33" s="11" t="s">
        <v>116</v>
      </c>
      <c r="C33" s="12">
        <v>45424</v>
      </c>
      <c r="D33" s="13" t="s">
        <v>99</v>
      </c>
      <c r="E33" s="13" t="s">
        <v>100</v>
      </c>
      <c r="F33" s="13" t="s">
        <v>117</v>
      </c>
      <c r="G33" s="13" t="s">
        <v>118</v>
      </c>
      <c r="H33" s="13" t="s">
        <v>19</v>
      </c>
      <c r="I33" s="13">
        <v>5</v>
      </c>
      <c r="J33" s="19">
        <v>89.99</v>
      </c>
      <c r="K33" s="13" t="s">
        <v>20</v>
      </c>
      <c r="L33" s="13" t="s">
        <v>40</v>
      </c>
      <c r="M33" s="13" t="s">
        <v>27</v>
      </c>
      <c r="N33" s="12">
        <v>44919</v>
      </c>
      <c r="O33" s="17">
        <v>449.95</v>
      </c>
    </row>
    <row r="34" spans="2:15" ht="15.75" customHeight="1" x14ac:dyDescent="0.3">
      <c r="B34" s="11" t="s">
        <v>119</v>
      </c>
      <c r="C34" s="12">
        <v>45425</v>
      </c>
      <c r="D34" s="13" t="s">
        <v>120</v>
      </c>
      <c r="E34" s="13" t="s">
        <v>121</v>
      </c>
      <c r="F34" s="13" t="s">
        <v>31</v>
      </c>
      <c r="G34" s="13" t="s">
        <v>32</v>
      </c>
      <c r="H34" s="13" t="s">
        <v>33</v>
      </c>
      <c r="I34" s="13">
        <v>2</v>
      </c>
      <c r="J34" s="19">
        <v>59.99</v>
      </c>
      <c r="K34" s="13" t="s">
        <v>57</v>
      </c>
      <c r="L34" s="13" t="s">
        <v>21</v>
      </c>
      <c r="M34" s="13" t="s">
        <v>36</v>
      </c>
      <c r="N34" s="12">
        <v>45214</v>
      </c>
      <c r="O34" s="17">
        <v>119.98</v>
      </c>
    </row>
    <row r="35" spans="2:15" ht="15.75" customHeight="1" x14ac:dyDescent="0.3">
      <c r="B35" s="11" t="s">
        <v>122</v>
      </c>
      <c r="C35" s="12">
        <v>45427</v>
      </c>
      <c r="D35" s="13" t="s">
        <v>123</v>
      </c>
      <c r="E35" s="13" t="s">
        <v>124</v>
      </c>
      <c r="F35" s="13" t="s">
        <v>31</v>
      </c>
      <c r="G35" s="13" t="s">
        <v>32</v>
      </c>
      <c r="H35" s="13" t="s">
        <v>33</v>
      </c>
      <c r="I35" s="13">
        <v>4</v>
      </c>
      <c r="J35" s="19">
        <v>59.99</v>
      </c>
      <c r="K35" s="13" t="s">
        <v>57</v>
      </c>
      <c r="L35" s="13" t="s">
        <v>63</v>
      </c>
      <c r="M35" s="13" t="s">
        <v>36</v>
      </c>
      <c r="N35" s="12">
        <v>44867</v>
      </c>
      <c r="O35" s="17">
        <v>239.96</v>
      </c>
    </row>
    <row r="36" spans="2:15" ht="15.75" customHeight="1" x14ac:dyDescent="0.3">
      <c r="B36" s="11" t="s">
        <v>125</v>
      </c>
      <c r="C36" s="12">
        <v>45427</v>
      </c>
      <c r="D36" s="13" t="s">
        <v>55</v>
      </c>
      <c r="E36" s="13" t="s">
        <v>56</v>
      </c>
      <c r="F36" s="13" t="s">
        <v>126</v>
      </c>
      <c r="G36" s="13" t="s">
        <v>127</v>
      </c>
      <c r="H36" s="13" t="s">
        <v>46</v>
      </c>
      <c r="I36" s="13">
        <v>5</v>
      </c>
      <c r="J36" s="19">
        <v>199.99</v>
      </c>
      <c r="K36" s="13" t="s">
        <v>20</v>
      </c>
      <c r="L36" s="13" t="s">
        <v>35</v>
      </c>
      <c r="M36" s="13" t="s">
        <v>36</v>
      </c>
      <c r="N36" s="12">
        <v>44412</v>
      </c>
      <c r="O36" s="17">
        <v>999.95</v>
      </c>
    </row>
    <row r="37" spans="2:15" ht="15.75" customHeight="1" x14ac:dyDescent="0.3">
      <c r="B37" s="11" t="s">
        <v>128</v>
      </c>
      <c r="C37" s="12">
        <v>45428</v>
      </c>
      <c r="D37" s="13" t="s">
        <v>129</v>
      </c>
      <c r="E37" s="13" t="s">
        <v>130</v>
      </c>
      <c r="F37" s="13" t="s">
        <v>44</v>
      </c>
      <c r="G37" s="13" t="s">
        <v>45</v>
      </c>
      <c r="H37" s="13" t="s">
        <v>46</v>
      </c>
      <c r="I37" s="13">
        <v>2</v>
      </c>
      <c r="J37" s="19">
        <v>149.99</v>
      </c>
      <c r="K37" s="13" t="s">
        <v>26</v>
      </c>
      <c r="L37" s="13" t="s">
        <v>50</v>
      </c>
      <c r="M37" s="13" t="s">
        <v>22</v>
      </c>
      <c r="N37" s="12">
        <v>44823</v>
      </c>
      <c r="O37" s="17">
        <v>299.98</v>
      </c>
    </row>
    <row r="38" spans="2:15" ht="15.75" customHeight="1" x14ac:dyDescent="0.3">
      <c r="B38" s="11" t="s">
        <v>131</v>
      </c>
      <c r="C38" s="12">
        <v>45430</v>
      </c>
      <c r="D38" s="13" t="s">
        <v>132</v>
      </c>
      <c r="E38" s="13" t="s">
        <v>133</v>
      </c>
      <c r="F38" s="13" t="s">
        <v>44</v>
      </c>
      <c r="G38" s="13" t="s">
        <v>45</v>
      </c>
      <c r="H38" s="13" t="s">
        <v>46</v>
      </c>
      <c r="I38" s="13">
        <v>3</v>
      </c>
      <c r="J38" s="19">
        <v>149.99</v>
      </c>
      <c r="K38" s="13" t="s">
        <v>26</v>
      </c>
      <c r="L38" s="13" t="s">
        <v>50</v>
      </c>
      <c r="M38" s="13" t="s">
        <v>27</v>
      </c>
      <c r="N38" s="12">
        <v>45068</v>
      </c>
      <c r="O38" s="17">
        <v>449.97</v>
      </c>
    </row>
    <row r="39" spans="2:15" ht="15.75" customHeight="1" x14ac:dyDescent="0.3">
      <c r="B39" s="11" t="s">
        <v>134</v>
      </c>
      <c r="C39" s="12">
        <v>45432</v>
      </c>
      <c r="D39" s="13" t="s">
        <v>29</v>
      </c>
      <c r="E39" s="13" t="s">
        <v>30</v>
      </c>
      <c r="F39" s="13" t="s">
        <v>61</v>
      </c>
      <c r="G39" s="13" t="s">
        <v>62</v>
      </c>
      <c r="H39" s="13" t="s">
        <v>19</v>
      </c>
      <c r="I39" s="13">
        <v>1</v>
      </c>
      <c r="J39" s="19">
        <v>899.99</v>
      </c>
      <c r="K39" s="13" t="s">
        <v>26</v>
      </c>
      <c r="L39" s="13" t="s">
        <v>50</v>
      </c>
      <c r="M39" s="13" t="s">
        <v>27</v>
      </c>
      <c r="N39" s="12">
        <v>44578</v>
      </c>
      <c r="O39" s="17">
        <v>899.99</v>
      </c>
    </row>
    <row r="40" spans="2:15" ht="15.75" customHeight="1" x14ac:dyDescent="0.3">
      <c r="B40" s="11" t="s">
        <v>135</v>
      </c>
      <c r="C40" s="12">
        <v>45434</v>
      </c>
      <c r="D40" s="13" t="s">
        <v>99</v>
      </c>
      <c r="E40" s="13" t="s">
        <v>100</v>
      </c>
      <c r="F40" s="13" t="s">
        <v>105</v>
      </c>
      <c r="G40" s="13" t="s">
        <v>106</v>
      </c>
      <c r="H40" s="13" t="s">
        <v>46</v>
      </c>
      <c r="I40" s="13">
        <v>3</v>
      </c>
      <c r="J40" s="19">
        <v>299.99</v>
      </c>
      <c r="K40" s="13" t="s">
        <v>26</v>
      </c>
      <c r="L40" s="13" t="s">
        <v>63</v>
      </c>
      <c r="M40" s="13" t="s">
        <v>22</v>
      </c>
      <c r="N40" s="12">
        <v>44824</v>
      </c>
      <c r="O40" s="17">
        <v>899.97</v>
      </c>
    </row>
    <row r="41" spans="2:15" ht="15.75" customHeight="1" x14ac:dyDescent="0.3">
      <c r="B41" s="11" t="s">
        <v>136</v>
      </c>
      <c r="C41" s="12">
        <v>45435</v>
      </c>
      <c r="D41" s="13" t="s">
        <v>129</v>
      </c>
      <c r="E41" s="13" t="s">
        <v>130</v>
      </c>
      <c r="F41" s="13" t="s">
        <v>114</v>
      </c>
      <c r="G41" s="13" t="s">
        <v>115</v>
      </c>
      <c r="H41" s="13" t="s">
        <v>33</v>
      </c>
      <c r="I41" s="13">
        <v>3</v>
      </c>
      <c r="J41" s="19">
        <v>79.989999999999995</v>
      </c>
      <c r="K41" s="13" t="s">
        <v>20</v>
      </c>
      <c r="L41" s="13" t="s">
        <v>35</v>
      </c>
      <c r="M41" s="13" t="s">
        <v>22</v>
      </c>
      <c r="N41" s="12">
        <v>45046</v>
      </c>
      <c r="O41" s="17">
        <v>239.97</v>
      </c>
    </row>
    <row r="42" spans="2:15" ht="15.75" customHeight="1" x14ac:dyDescent="0.3">
      <c r="B42" s="11" t="s">
        <v>137</v>
      </c>
      <c r="C42" s="12">
        <v>45438</v>
      </c>
      <c r="D42" s="13" t="s">
        <v>138</v>
      </c>
      <c r="E42" s="13" t="s">
        <v>139</v>
      </c>
      <c r="F42" s="13" t="s">
        <v>126</v>
      </c>
      <c r="G42" s="13" t="s">
        <v>127</v>
      </c>
      <c r="H42" s="13" t="s">
        <v>46</v>
      </c>
      <c r="I42" s="13">
        <v>3</v>
      </c>
      <c r="J42" s="19">
        <v>199.99</v>
      </c>
      <c r="K42" s="13" t="s">
        <v>26</v>
      </c>
      <c r="L42" s="13" t="s">
        <v>40</v>
      </c>
      <c r="M42" s="13" t="s">
        <v>27</v>
      </c>
      <c r="N42" s="12">
        <v>45292</v>
      </c>
      <c r="O42" s="17">
        <v>599.97</v>
      </c>
    </row>
    <row r="43" spans="2:15" ht="15.75" customHeight="1" x14ac:dyDescent="0.3">
      <c r="B43" s="11" t="s">
        <v>140</v>
      </c>
      <c r="C43" s="12">
        <v>45440</v>
      </c>
      <c r="D43" s="13" t="s">
        <v>141</v>
      </c>
      <c r="E43" s="13" t="s">
        <v>142</v>
      </c>
      <c r="F43" s="13" t="s">
        <v>80</v>
      </c>
      <c r="G43" s="13" t="s">
        <v>81</v>
      </c>
      <c r="H43" s="13" t="s">
        <v>19</v>
      </c>
      <c r="I43" s="13">
        <v>5</v>
      </c>
      <c r="J43" s="19">
        <v>699.99</v>
      </c>
      <c r="K43" s="13" t="s">
        <v>34</v>
      </c>
      <c r="L43" s="13" t="s">
        <v>50</v>
      </c>
      <c r="M43" s="13" t="s">
        <v>36</v>
      </c>
      <c r="N43" s="12">
        <v>44407</v>
      </c>
      <c r="O43" s="17">
        <v>3499.95</v>
      </c>
    </row>
    <row r="44" spans="2:15" ht="15.75" customHeight="1" x14ac:dyDescent="0.3">
      <c r="B44" s="11" t="s">
        <v>143</v>
      </c>
      <c r="C44" s="12">
        <v>45441</v>
      </c>
      <c r="D44" s="13" t="s">
        <v>144</v>
      </c>
      <c r="E44" s="13" t="s">
        <v>145</v>
      </c>
      <c r="F44" s="13" t="s">
        <v>117</v>
      </c>
      <c r="G44" s="13" t="s">
        <v>118</v>
      </c>
      <c r="H44" s="13" t="s">
        <v>19</v>
      </c>
      <c r="I44" s="13">
        <v>3</v>
      </c>
      <c r="J44" s="19">
        <v>89.99</v>
      </c>
      <c r="K44" s="13" t="s">
        <v>34</v>
      </c>
      <c r="L44" s="13" t="s">
        <v>21</v>
      </c>
      <c r="M44" s="13" t="s">
        <v>27</v>
      </c>
      <c r="N44" s="12">
        <v>45120</v>
      </c>
      <c r="O44" s="17">
        <v>269.97000000000003</v>
      </c>
    </row>
    <row r="45" spans="2:15" ht="15.75" customHeight="1" x14ac:dyDescent="0.3">
      <c r="B45" s="11" t="s">
        <v>146</v>
      </c>
      <c r="C45" s="12">
        <v>45443</v>
      </c>
      <c r="D45" s="13" t="s">
        <v>147</v>
      </c>
      <c r="E45" s="13" t="s">
        <v>148</v>
      </c>
      <c r="F45" s="13" t="s">
        <v>114</v>
      </c>
      <c r="G45" s="13" t="s">
        <v>115</v>
      </c>
      <c r="H45" s="13" t="s">
        <v>33</v>
      </c>
      <c r="I45" s="13">
        <v>1</v>
      </c>
      <c r="J45" s="19">
        <v>79.989999999999995</v>
      </c>
      <c r="K45" s="13" t="s">
        <v>20</v>
      </c>
      <c r="L45" s="13" t="s">
        <v>40</v>
      </c>
      <c r="M45" s="13" t="s">
        <v>36</v>
      </c>
      <c r="N45" s="12">
        <v>44917</v>
      </c>
      <c r="O45" s="17">
        <v>79.989999999999995</v>
      </c>
    </row>
    <row r="46" spans="2:15" ht="15.75" customHeight="1" x14ac:dyDescent="0.3">
      <c r="B46" s="11" t="s">
        <v>149</v>
      </c>
      <c r="C46" s="12">
        <v>45444</v>
      </c>
      <c r="D46" s="13" t="s">
        <v>150</v>
      </c>
      <c r="E46" s="13" t="s">
        <v>151</v>
      </c>
      <c r="F46" s="13" t="s">
        <v>31</v>
      </c>
      <c r="G46" s="13" t="s">
        <v>32</v>
      </c>
      <c r="H46" s="13" t="s">
        <v>33</v>
      </c>
      <c r="I46" s="13">
        <v>2</v>
      </c>
      <c r="J46" s="19">
        <v>59.99</v>
      </c>
      <c r="K46" s="13" t="s">
        <v>20</v>
      </c>
      <c r="L46" s="13" t="s">
        <v>50</v>
      </c>
      <c r="M46" s="13" t="s">
        <v>22</v>
      </c>
      <c r="N46" s="12">
        <v>45390</v>
      </c>
      <c r="O46" s="17">
        <v>119.98</v>
      </c>
    </row>
    <row r="47" spans="2:15" ht="15.75" customHeight="1" x14ac:dyDescent="0.3">
      <c r="B47" s="11" t="s">
        <v>152</v>
      </c>
      <c r="C47" s="12">
        <v>45444</v>
      </c>
      <c r="D47" s="13" t="s">
        <v>55</v>
      </c>
      <c r="E47" s="13" t="s">
        <v>56</v>
      </c>
      <c r="F47" s="13" t="s">
        <v>117</v>
      </c>
      <c r="G47" s="13" t="s">
        <v>118</v>
      </c>
      <c r="H47" s="13" t="s">
        <v>19</v>
      </c>
      <c r="I47" s="13">
        <v>1</v>
      </c>
      <c r="J47" s="19">
        <v>89.99</v>
      </c>
      <c r="K47" s="13" t="s">
        <v>20</v>
      </c>
      <c r="L47" s="13" t="s">
        <v>40</v>
      </c>
      <c r="M47" s="13" t="s">
        <v>22</v>
      </c>
      <c r="N47" s="12">
        <v>45141</v>
      </c>
      <c r="O47" s="17">
        <v>89.99</v>
      </c>
    </row>
    <row r="48" spans="2:15" ht="15.75" customHeight="1" x14ac:dyDescent="0.3">
      <c r="B48" s="11" t="s">
        <v>153</v>
      </c>
      <c r="C48" s="12">
        <v>45446</v>
      </c>
      <c r="D48" s="13" t="s">
        <v>154</v>
      </c>
      <c r="E48" s="13" t="s">
        <v>155</v>
      </c>
      <c r="F48" s="13" t="s">
        <v>117</v>
      </c>
      <c r="G48" s="13" t="s">
        <v>118</v>
      </c>
      <c r="H48" s="13" t="s">
        <v>19</v>
      </c>
      <c r="I48" s="13">
        <v>5</v>
      </c>
      <c r="J48" s="19">
        <v>89.99</v>
      </c>
      <c r="K48" s="13" t="s">
        <v>26</v>
      </c>
      <c r="L48" s="13" t="s">
        <v>63</v>
      </c>
      <c r="M48" s="13" t="s">
        <v>36</v>
      </c>
      <c r="N48" s="12">
        <v>44587</v>
      </c>
      <c r="O48" s="17">
        <v>449.95</v>
      </c>
    </row>
    <row r="49" spans="2:15" ht="15.75" customHeight="1" x14ac:dyDescent="0.3">
      <c r="B49" s="11" t="s">
        <v>156</v>
      </c>
      <c r="C49" s="12">
        <v>45449</v>
      </c>
      <c r="D49" s="13" t="s">
        <v>24</v>
      </c>
      <c r="E49" s="13" t="s">
        <v>25</v>
      </c>
      <c r="F49" s="13" t="s">
        <v>17</v>
      </c>
      <c r="G49" s="13" t="s">
        <v>18</v>
      </c>
      <c r="H49" s="13" t="s">
        <v>19</v>
      </c>
      <c r="I49" s="13">
        <v>5</v>
      </c>
      <c r="J49" s="19">
        <v>249.99</v>
      </c>
      <c r="K49" s="13" t="s">
        <v>26</v>
      </c>
      <c r="L49" s="13" t="s">
        <v>63</v>
      </c>
      <c r="M49" s="13" t="s">
        <v>36</v>
      </c>
      <c r="N49" s="12">
        <v>44707</v>
      </c>
      <c r="O49" s="17">
        <v>1249.95</v>
      </c>
    </row>
    <row r="50" spans="2:15" ht="15.75" customHeight="1" x14ac:dyDescent="0.3">
      <c r="B50" s="11" t="s">
        <v>157</v>
      </c>
      <c r="C50" s="12">
        <v>45449</v>
      </c>
      <c r="D50" s="13" t="s">
        <v>158</v>
      </c>
      <c r="E50" s="13" t="s">
        <v>159</v>
      </c>
      <c r="F50" s="13" t="s">
        <v>117</v>
      </c>
      <c r="G50" s="13" t="s">
        <v>118</v>
      </c>
      <c r="H50" s="13" t="s">
        <v>19</v>
      </c>
      <c r="I50" s="13">
        <v>1</v>
      </c>
      <c r="J50" s="19">
        <v>89.99</v>
      </c>
      <c r="K50" s="13" t="s">
        <v>26</v>
      </c>
      <c r="L50" s="13" t="s">
        <v>35</v>
      </c>
      <c r="M50" s="13" t="s">
        <v>36</v>
      </c>
      <c r="N50" s="12">
        <v>44582</v>
      </c>
      <c r="O50" s="17">
        <v>89.99</v>
      </c>
    </row>
    <row r="51" spans="2:15" ht="15.75" customHeight="1" x14ac:dyDescent="0.3">
      <c r="B51" s="11" t="s">
        <v>160</v>
      </c>
      <c r="C51" s="12">
        <v>45450</v>
      </c>
      <c r="D51" s="13" t="s">
        <v>42</v>
      </c>
      <c r="E51" s="13" t="s">
        <v>43</v>
      </c>
      <c r="F51" s="13" t="s">
        <v>44</v>
      </c>
      <c r="G51" s="13" t="s">
        <v>45</v>
      </c>
      <c r="H51" s="13" t="s">
        <v>46</v>
      </c>
      <c r="I51" s="13">
        <v>2</v>
      </c>
      <c r="J51" s="19">
        <v>149.99</v>
      </c>
      <c r="K51" s="13" t="s">
        <v>20</v>
      </c>
      <c r="L51" s="13" t="s">
        <v>63</v>
      </c>
      <c r="M51" s="13" t="s">
        <v>27</v>
      </c>
      <c r="N51" s="12">
        <v>44645</v>
      </c>
      <c r="O51" s="17">
        <v>299.98</v>
      </c>
    </row>
    <row r="52" spans="2:15" ht="15.75" customHeight="1" x14ac:dyDescent="0.3">
      <c r="B52" s="11" t="s">
        <v>161</v>
      </c>
      <c r="C52" s="12">
        <v>45452</v>
      </c>
      <c r="D52" s="13" t="s">
        <v>162</v>
      </c>
      <c r="E52" s="13" t="s">
        <v>163</v>
      </c>
      <c r="F52" s="13" t="s">
        <v>31</v>
      </c>
      <c r="G52" s="13" t="s">
        <v>32</v>
      </c>
      <c r="H52" s="13" t="s">
        <v>33</v>
      </c>
      <c r="I52" s="13">
        <v>4</v>
      </c>
      <c r="J52" s="19">
        <v>59.99</v>
      </c>
      <c r="K52" s="13" t="s">
        <v>20</v>
      </c>
      <c r="L52" s="13" t="s">
        <v>63</v>
      </c>
      <c r="M52" s="13" t="s">
        <v>36</v>
      </c>
      <c r="N52" s="12">
        <v>44435</v>
      </c>
      <c r="O52" s="17">
        <v>239.96</v>
      </c>
    </row>
    <row r="53" spans="2:15" ht="15.75" customHeight="1" x14ac:dyDescent="0.3">
      <c r="B53" s="11" t="s">
        <v>164</v>
      </c>
      <c r="C53" s="12">
        <v>45456</v>
      </c>
      <c r="D53" s="13" t="s">
        <v>129</v>
      </c>
      <c r="E53" s="13" t="s">
        <v>130</v>
      </c>
      <c r="F53" s="13" t="s">
        <v>117</v>
      </c>
      <c r="G53" s="13" t="s">
        <v>118</v>
      </c>
      <c r="H53" s="13" t="s">
        <v>19</v>
      </c>
      <c r="I53" s="13">
        <v>5</v>
      </c>
      <c r="J53" s="19">
        <v>89.99</v>
      </c>
      <c r="K53" s="13" t="s">
        <v>20</v>
      </c>
      <c r="L53" s="13" t="s">
        <v>21</v>
      </c>
      <c r="M53" s="13" t="s">
        <v>27</v>
      </c>
      <c r="N53" s="12">
        <v>44579</v>
      </c>
      <c r="O53" s="17">
        <v>449.95</v>
      </c>
    </row>
    <row r="54" spans="2:15" ht="15.75" customHeight="1" x14ac:dyDescent="0.3">
      <c r="B54" s="11" t="s">
        <v>165</v>
      </c>
      <c r="C54" s="12">
        <v>45459</v>
      </c>
      <c r="D54" s="13" t="s">
        <v>99</v>
      </c>
      <c r="E54" s="13" t="s">
        <v>100</v>
      </c>
      <c r="F54" s="13" t="s">
        <v>117</v>
      </c>
      <c r="G54" s="13" t="s">
        <v>118</v>
      </c>
      <c r="H54" s="13" t="s">
        <v>19</v>
      </c>
      <c r="I54" s="13">
        <v>2</v>
      </c>
      <c r="J54" s="19">
        <v>89.99</v>
      </c>
      <c r="K54" s="13" t="s">
        <v>26</v>
      </c>
      <c r="L54" s="13" t="s">
        <v>35</v>
      </c>
      <c r="M54" s="13" t="s">
        <v>27</v>
      </c>
      <c r="N54" s="12">
        <v>44471</v>
      </c>
      <c r="O54" s="17">
        <v>179.98</v>
      </c>
    </row>
    <row r="55" spans="2:15" ht="15.75" customHeight="1" x14ac:dyDescent="0.3">
      <c r="B55" s="11" t="s">
        <v>166</v>
      </c>
      <c r="C55" s="12">
        <v>45459</v>
      </c>
      <c r="D55" s="13" t="s">
        <v>15</v>
      </c>
      <c r="E55" s="13" t="s">
        <v>16</v>
      </c>
      <c r="F55" s="13" t="s">
        <v>61</v>
      </c>
      <c r="G55" s="13" t="s">
        <v>62</v>
      </c>
      <c r="H55" s="13" t="s">
        <v>19</v>
      </c>
      <c r="I55" s="13">
        <v>5</v>
      </c>
      <c r="J55" s="19">
        <v>899.99</v>
      </c>
      <c r="K55" s="13" t="s">
        <v>26</v>
      </c>
      <c r="L55" s="13" t="s">
        <v>35</v>
      </c>
      <c r="M55" s="13" t="s">
        <v>36</v>
      </c>
      <c r="N55" s="12">
        <v>44974</v>
      </c>
      <c r="O55" s="17">
        <v>4499.95</v>
      </c>
    </row>
    <row r="56" spans="2:15" ht="15.75" customHeight="1" x14ac:dyDescent="0.3">
      <c r="B56" s="11" t="s">
        <v>167</v>
      </c>
      <c r="C56" s="12">
        <v>45459</v>
      </c>
      <c r="D56" s="13" t="s">
        <v>123</v>
      </c>
      <c r="E56" s="13" t="s">
        <v>124</v>
      </c>
      <c r="F56" s="13" t="s">
        <v>61</v>
      </c>
      <c r="G56" s="13" t="s">
        <v>62</v>
      </c>
      <c r="H56" s="13" t="s">
        <v>19</v>
      </c>
      <c r="I56" s="13">
        <v>5</v>
      </c>
      <c r="J56" s="19">
        <v>899.99</v>
      </c>
      <c r="K56" s="13" t="s">
        <v>34</v>
      </c>
      <c r="L56" s="13" t="s">
        <v>63</v>
      </c>
      <c r="M56" s="13" t="s">
        <v>27</v>
      </c>
      <c r="N56" s="12">
        <v>45278</v>
      </c>
      <c r="O56" s="17">
        <v>4499.95</v>
      </c>
    </row>
    <row r="57" spans="2:15" ht="15.75" customHeight="1" x14ac:dyDescent="0.3">
      <c r="B57" s="11" t="s">
        <v>168</v>
      </c>
      <c r="C57" s="12">
        <v>45460</v>
      </c>
      <c r="D57" s="13" t="s">
        <v>158</v>
      </c>
      <c r="E57" s="13" t="s">
        <v>159</v>
      </c>
      <c r="F57" s="13" t="s">
        <v>31</v>
      </c>
      <c r="G57" s="13" t="s">
        <v>32</v>
      </c>
      <c r="H57" s="13" t="s">
        <v>33</v>
      </c>
      <c r="I57" s="13">
        <v>1</v>
      </c>
      <c r="J57" s="19">
        <v>59.99</v>
      </c>
      <c r="K57" s="13" t="s">
        <v>57</v>
      </c>
      <c r="L57" s="13" t="s">
        <v>50</v>
      </c>
      <c r="M57" s="13" t="s">
        <v>27</v>
      </c>
      <c r="N57" s="12">
        <v>45190</v>
      </c>
      <c r="O57" s="17">
        <v>59.99</v>
      </c>
    </row>
    <row r="58" spans="2:15" ht="15.75" customHeight="1" x14ac:dyDescent="0.3">
      <c r="B58" s="11" t="s">
        <v>169</v>
      </c>
      <c r="C58" s="12">
        <v>45460</v>
      </c>
      <c r="D58" s="13" t="s">
        <v>141</v>
      </c>
      <c r="E58" s="13" t="s">
        <v>142</v>
      </c>
      <c r="F58" s="13" t="s">
        <v>105</v>
      </c>
      <c r="G58" s="13" t="s">
        <v>106</v>
      </c>
      <c r="H58" s="13" t="s">
        <v>46</v>
      </c>
      <c r="I58" s="13">
        <v>2</v>
      </c>
      <c r="J58" s="19">
        <v>299.99</v>
      </c>
      <c r="K58" s="13" t="s">
        <v>57</v>
      </c>
      <c r="L58" s="13" t="s">
        <v>63</v>
      </c>
      <c r="M58" s="13" t="s">
        <v>36</v>
      </c>
      <c r="N58" s="12">
        <v>45253</v>
      </c>
      <c r="O58" s="17">
        <v>599.98</v>
      </c>
    </row>
    <row r="59" spans="2:15" ht="15.75" customHeight="1" x14ac:dyDescent="0.3">
      <c r="B59" s="11" t="s">
        <v>170</v>
      </c>
      <c r="C59" s="12">
        <v>45468</v>
      </c>
      <c r="D59" s="13" t="s">
        <v>171</v>
      </c>
      <c r="E59" s="13" t="s">
        <v>172</v>
      </c>
      <c r="F59" s="13" t="s">
        <v>117</v>
      </c>
      <c r="G59" s="13" t="s">
        <v>118</v>
      </c>
      <c r="H59" s="13" t="s">
        <v>19</v>
      </c>
      <c r="I59" s="13">
        <v>4</v>
      </c>
      <c r="J59" s="19">
        <v>89.99</v>
      </c>
      <c r="K59" s="13" t="s">
        <v>57</v>
      </c>
      <c r="L59" s="13" t="s">
        <v>35</v>
      </c>
      <c r="M59" s="13" t="s">
        <v>22</v>
      </c>
      <c r="N59" s="12">
        <v>45281</v>
      </c>
      <c r="O59" s="17">
        <v>359.96</v>
      </c>
    </row>
    <row r="60" spans="2:15" ht="15.75" customHeight="1" x14ac:dyDescent="0.3">
      <c r="B60" s="11" t="s">
        <v>173</v>
      </c>
      <c r="C60" s="12">
        <v>45469</v>
      </c>
      <c r="D60" s="13" t="s">
        <v>29</v>
      </c>
      <c r="E60" s="13" t="s">
        <v>30</v>
      </c>
      <c r="F60" s="13" t="s">
        <v>114</v>
      </c>
      <c r="G60" s="13" t="s">
        <v>115</v>
      </c>
      <c r="H60" s="13" t="s">
        <v>33</v>
      </c>
      <c r="I60" s="13">
        <v>1</v>
      </c>
      <c r="J60" s="19">
        <v>79.989999999999995</v>
      </c>
      <c r="K60" s="13" t="s">
        <v>34</v>
      </c>
      <c r="L60" s="13" t="s">
        <v>21</v>
      </c>
      <c r="M60" s="13" t="s">
        <v>27</v>
      </c>
      <c r="N60" s="12">
        <v>45352</v>
      </c>
      <c r="O60" s="17">
        <v>79.989999999999995</v>
      </c>
    </row>
    <row r="61" spans="2:15" ht="15.75" customHeight="1" x14ac:dyDescent="0.3">
      <c r="B61" s="11" t="s">
        <v>174</v>
      </c>
      <c r="C61" s="12">
        <v>45469</v>
      </c>
      <c r="D61" s="13" t="s">
        <v>59</v>
      </c>
      <c r="E61" s="13" t="s">
        <v>60</v>
      </c>
      <c r="F61" s="13" t="s">
        <v>117</v>
      </c>
      <c r="G61" s="13" t="s">
        <v>118</v>
      </c>
      <c r="H61" s="13" t="s">
        <v>19</v>
      </c>
      <c r="I61" s="13">
        <v>2</v>
      </c>
      <c r="J61" s="19">
        <v>89.99</v>
      </c>
      <c r="K61" s="13" t="s">
        <v>20</v>
      </c>
      <c r="L61" s="13" t="s">
        <v>50</v>
      </c>
      <c r="M61" s="13" t="s">
        <v>22</v>
      </c>
      <c r="N61" s="12">
        <v>44438</v>
      </c>
      <c r="O61" s="17">
        <v>179.98</v>
      </c>
    </row>
    <row r="62" spans="2:15" ht="15.75" customHeight="1" x14ac:dyDescent="0.3">
      <c r="B62" s="11" t="s">
        <v>175</v>
      </c>
      <c r="C62" s="12">
        <v>45471</v>
      </c>
      <c r="D62" s="13" t="s">
        <v>38</v>
      </c>
      <c r="E62" s="13" t="s">
        <v>39</v>
      </c>
      <c r="F62" s="13" t="s">
        <v>80</v>
      </c>
      <c r="G62" s="13" t="s">
        <v>81</v>
      </c>
      <c r="H62" s="13" t="s">
        <v>19</v>
      </c>
      <c r="I62" s="13">
        <v>3</v>
      </c>
      <c r="J62" s="19">
        <v>699.99</v>
      </c>
      <c r="K62" s="13" t="s">
        <v>26</v>
      </c>
      <c r="L62" s="13" t="s">
        <v>63</v>
      </c>
      <c r="M62" s="13" t="s">
        <v>27</v>
      </c>
      <c r="N62" s="12">
        <v>45102</v>
      </c>
      <c r="O62" s="17">
        <v>2099.9699999999998</v>
      </c>
    </row>
    <row r="63" spans="2:15" ht="15.75" customHeight="1" x14ac:dyDescent="0.3">
      <c r="B63" s="11" t="s">
        <v>176</v>
      </c>
      <c r="C63" s="12">
        <v>45471</v>
      </c>
      <c r="D63" s="13" t="s">
        <v>99</v>
      </c>
      <c r="E63" s="13" t="s">
        <v>100</v>
      </c>
      <c r="F63" s="13" t="s">
        <v>61</v>
      </c>
      <c r="G63" s="13" t="s">
        <v>62</v>
      </c>
      <c r="H63" s="13" t="s">
        <v>19</v>
      </c>
      <c r="I63" s="13">
        <v>4</v>
      </c>
      <c r="J63" s="19">
        <v>899.99</v>
      </c>
      <c r="K63" s="13" t="s">
        <v>26</v>
      </c>
      <c r="L63" s="13" t="s">
        <v>63</v>
      </c>
      <c r="M63" s="13" t="s">
        <v>27</v>
      </c>
      <c r="N63" s="12">
        <v>44993</v>
      </c>
      <c r="O63" s="17">
        <v>3599.96</v>
      </c>
    </row>
    <row r="64" spans="2:15" ht="15.75" customHeight="1" x14ac:dyDescent="0.3">
      <c r="B64" s="11" t="s">
        <v>177</v>
      </c>
      <c r="C64" s="12">
        <v>45472</v>
      </c>
      <c r="D64" s="13" t="s">
        <v>120</v>
      </c>
      <c r="E64" s="13" t="s">
        <v>121</v>
      </c>
      <c r="F64" s="13" t="s">
        <v>44</v>
      </c>
      <c r="G64" s="13" t="s">
        <v>45</v>
      </c>
      <c r="H64" s="13" t="s">
        <v>46</v>
      </c>
      <c r="I64" s="13">
        <v>1</v>
      </c>
      <c r="J64" s="19">
        <v>149.99</v>
      </c>
      <c r="K64" s="13" t="s">
        <v>34</v>
      </c>
      <c r="L64" s="13" t="s">
        <v>63</v>
      </c>
      <c r="M64" s="13" t="s">
        <v>22</v>
      </c>
      <c r="N64" s="12">
        <v>44851</v>
      </c>
      <c r="O64" s="17">
        <v>149.99</v>
      </c>
    </row>
    <row r="65" spans="2:15" ht="15.75" customHeight="1" x14ac:dyDescent="0.3">
      <c r="B65" s="11" t="s">
        <v>178</v>
      </c>
      <c r="C65" s="12">
        <v>45474</v>
      </c>
      <c r="D65" s="13" t="s">
        <v>132</v>
      </c>
      <c r="E65" s="13" t="s">
        <v>133</v>
      </c>
      <c r="F65" s="13" t="s">
        <v>117</v>
      </c>
      <c r="G65" s="13" t="s">
        <v>118</v>
      </c>
      <c r="H65" s="13" t="s">
        <v>19</v>
      </c>
      <c r="I65" s="13">
        <v>2</v>
      </c>
      <c r="J65" s="19">
        <v>89.99</v>
      </c>
      <c r="K65" s="13" t="s">
        <v>34</v>
      </c>
      <c r="L65" s="13" t="s">
        <v>21</v>
      </c>
      <c r="M65" s="13" t="s">
        <v>27</v>
      </c>
      <c r="N65" s="12">
        <v>45275</v>
      </c>
      <c r="O65" s="17">
        <v>179.98</v>
      </c>
    </row>
    <row r="66" spans="2:15" ht="15.75" customHeight="1" x14ac:dyDescent="0.3">
      <c r="B66" s="11" t="s">
        <v>179</v>
      </c>
      <c r="C66" s="12">
        <v>45475</v>
      </c>
      <c r="D66" s="13" t="s">
        <v>55</v>
      </c>
      <c r="E66" s="13" t="s">
        <v>56</v>
      </c>
      <c r="F66" s="13" t="s">
        <v>117</v>
      </c>
      <c r="G66" s="13" t="s">
        <v>118</v>
      </c>
      <c r="H66" s="13" t="s">
        <v>19</v>
      </c>
      <c r="I66" s="13">
        <v>1</v>
      </c>
      <c r="J66" s="19">
        <v>89.99</v>
      </c>
      <c r="K66" s="13" t="s">
        <v>34</v>
      </c>
      <c r="L66" s="13" t="s">
        <v>50</v>
      </c>
      <c r="M66" s="13" t="s">
        <v>36</v>
      </c>
      <c r="N66" s="12">
        <v>44802</v>
      </c>
      <c r="O66" s="17">
        <v>89.99</v>
      </c>
    </row>
    <row r="67" spans="2:15" ht="15.75" customHeight="1" x14ac:dyDescent="0.3">
      <c r="B67" s="11" t="s">
        <v>180</v>
      </c>
      <c r="C67" s="12">
        <v>45476</v>
      </c>
      <c r="D67" s="13" t="s">
        <v>68</v>
      </c>
      <c r="E67" s="13" t="s">
        <v>69</v>
      </c>
      <c r="F67" s="13" t="s">
        <v>117</v>
      </c>
      <c r="G67" s="13" t="s">
        <v>118</v>
      </c>
      <c r="H67" s="13" t="s">
        <v>19</v>
      </c>
      <c r="I67" s="13">
        <v>1</v>
      </c>
      <c r="J67" s="19">
        <v>89.99</v>
      </c>
      <c r="K67" s="13" t="s">
        <v>20</v>
      </c>
      <c r="L67" s="13" t="s">
        <v>35</v>
      </c>
      <c r="M67" s="13" t="s">
        <v>36</v>
      </c>
      <c r="N67" s="12">
        <v>44611</v>
      </c>
      <c r="O67" s="17">
        <v>89.99</v>
      </c>
    </row>
    <row r="68" spans="2:15" ht="15.75" customHeight="1" x14ac:dyDescent="0.3">
      <c r="B68" s="11" t="s">
        <v>181</v>
      </c>
      <c r="C68" s="12">
        <v>45476</v>
      </c>
      <c r="D68" s="13" t="s">
        <v>182</v>
      </c>
      <c r="E68" s="13" t="s">
        <v>183</v>
      </c>
      <c r="F68" s="13" t="s">
        <v>114</v>
      </c>
      <c r="G68" s="13" t="s">
        <v>115</v>
      </c>
      <c r="H68" s="13" t="s">
        <v>33</v>
      </c>
      <c r="I68" s="13">
        <v>5</v>
      </c>
      <c r="J68" s="19">
        <v>79.989999999999995</v>
      </c>
      <c r="K68" s="13" t="s">
        <v>57</v>
      </c>
      <c r="L68" s="13" t="s">
        <v>21</v>
      </c>
      <c r="M68" s="13" t="s">
        <v>22</v>
      </c>
      <c r="N68" s="12">
        <v>44981</v>
      </c>
      <c r="O68" s="17">
        <v>399.95</v>
      </c>
    </row>
    <row r="69" spans="2:15" ht="15.75" customHeight="1" x14ac:dyDescent="0.3">
      <c r="B69" s="11" t="s">
        <v>184</v>
      </c>
      <c r="C69" s="12">
        <v>45481</v>
      </c>
      <c r="D69" s="13" t="s">
        <v>185</v>
      </c>
      <c r="E69" s="13" t="s">
        <v>186</v>
      </c>
      <c r="F69" s="13" t="s">
        <v>44</v>
      </c>
      <c r="G69" s="13" t="s">
        <v>45</v>
      </c>
      <c r="H69" s="13" t="s">
        <v>46</v>
      </c>
      <c r="I69" s="13">
        <v>1</v>
      </c>
      <c r="J69" s="19">
        <v>149.99</v>
      </c>
      <c r="K69" s="13" t="s">
        <v>34</v>
      </c>
      <c r="L69" s="13" t="s">
        <v>40</v>
      </c>
      <c r="M69" s="13" t="s">
        <v>22</v>
      </c>
      <c r="N69" s="12">
        <v>44421</v>
      </c>
      <c r="O69" s="17">
        <v>149.99</v>
      </c>
    </row>
    <row r="70" spans="2:15" ht="15.75" customHeight="1" x14ac:dyDescent="0.3">
      <c r="B70" s="11" t="s">
        <v>187</v>
      </c>
      <c r="C70" s="12">
        <v>45481</v>
      </c>
      <c r="D70" s="13" t="s">
        <v>42</v>
      </c>
      <c r="E70" s="13" t="s">
        <v>43</v>
      </c>
      <c r="F70" s="13" t="s">
        <v>80</v>
      </c>
      <c r="G70" s="13" t="s">
        <v>81</v>
      </c>
      <c r="H70" s="13" t="s">
        <v>19</v>
      </c>
      <c r="I70" s="13">
        <v>2</v>
      </c>
      <c r="J70" s="19">
        <v>699.99</v>
      </c>
      <c r="K70" s="13" t="s">
        <v>34</v>
      </c>
      <c r="L70" s="13" t="s">
        <v>63</v>
      </c>
      <c r="M70" s="13" t="s">
        <v>27</v>
      </c>
      <c r="N70" s="12">
        <v>45389</v>
      </c>
      <c r="O70" s="17">
        <v>1399.98</v>
      </c>
    </row>
    <row r="71" spans="2:15" ht="15.75" customHeight="1" x14ac:dyDescent="0.3">
      <c r="B71" s="11" t="s">
        <v>188</v>
      </c>
      <c r="C71" s="12">
        <v>45481</v>
      </c>
      <c r="D71" s="13" t="s">
        <v>96</v>
      </c>
      <c r="E71" s="13" t="s">
        <v>97</v>
      </c>
      <c r="F71" s="13" t="s">
        <v>117</v>
      </c>
      <c r="G71" s="13" t="s">
        <v>118</v>
      </c>
      <c r="H71" s="13" t="s">
        <v>19</v>
      </c>
      <c r="I71" s="13">
        <v>5</v>
      </c>
      <c r="J71" s="19">
        <v>89.99</v>
      </c>
      <c r="K71" s="13" t="s">
        <v>57</v>
      </c>
      <c r="L71" s="13" t="s">
        <v>40</v>
      </c>
      <c r="M71" s="13" t="s">
        <v>27</v>
      </c>
      <c r="N71" s="12">
        <v>45161</v>
      </c>
      <c r="O71" s="17">
        <v>449.95</v>
      </c>
    </row>
    <row r="72" spans="2:15" ht="15.75" customHeight="1" x14ac:dyDescent="0.3">
      <c r="B72" s="11" t="s">
        <v>189</v>
      </c>
      <c r="C72" s="12">
        <v>45482</v>
      </c>
      <c r="D72" s="13" t="s">
        <v>171</v>
      </c>
      <c r="E72" s="13" t="s">
        <v>172</v>
      </c>
      <c r="F72" s="13" t="s">
        <v>31</v>
      </c>
      <c r="G72" s="13" t="s">
        <v>32</v>
      </c>
      <c r="H72" s="13" t="s">
        <v>33</v>
      </c>
      <c r="I72" s="13">
        <v>4</v>
      </c>
      <c r="J72" s="19">
        <v>59.99</v>
      </c>
      <c r="K72" s="13" t="s">
        <v>20</v>
      </c>
      <c r="L72" s="13" t="s">
        <v>35</v>
      </c>
      <c r="M72" s="13" t="s">
        <v>36</v>
      </c>
      <c r="N72" s="12">
        <v>44509</v>
      </c>
      <c r="O72" s="17">
        <v>239.96</v>
      </c>
    </row>
    <row r="73" spans="2:15" ht="15.75" customHeight="1" x14ac:dyDescent="0.3">
      <c r="B73" s="11" t="s">
        <v>190</v>
      </c>
      <c r="C73" s="12">
        <v>45484</v>
      </c>
      <c r="D73" s="13" t="s">
        <v>24</v>
      </c>
      <c r="E73" s="13" t="s">
        <v>25</v>
      </c>
      <c r="F73" s="13" t="s">
        <v>52</v>
      </c>
      <c r="G73" s="13" t="s">
        <v>53</v>
      </c>
      <c r="H73" s="13" t="s">
        <v>19</v>
      </c>
      <c r="I73" s="13">
        <v>1</v>
      </c>
      <c r="J73" s="19">
        <v>149.99</v>
      </c>
      <c r="K73" s="13" t="s">
        <v>20</v>
      </c>
      <c r="L73" s="13" t="s">
        <v>21</v>
      </c>
      <c r="M73" s="13" t="s">
        <v>36</v>
      </c>
      <c r="N73" s="12">
        <v>44909</v>
      </c>
      <c r="O73" s="17">
        <v>149.99</v>
      </c>
    </row>
    <row r="74" spans="2:15" ht="15.75" customHeight="1" x14ac:dyDescent="0.3">
      <c r="B74" s="11" t="s">
        <v>191</v>
      </c>
      <c r="C74" s="12">
        <v>45484</v>
      </c>
      <c r="D74" s="13" t="s">
        <v>192</v>
      </c>
      <c r="E74" s="13" t="s">
        <v>193</v>
      </c>
      <c r="F74" s="13" t="s">
        <v>105</v>
      </c>
      <c r="G74" s="13" t="s">
        <v>106</v>
      </c>
      <c r="H74" s="13" t="s">
        <v>46</v>
      </c>
      <c r="I74" s="13">
        <v>1</v>
      </c>
      <c r="J74" s="19">
        <v>299.99</v>
      </c>
      <c r="K74" s="13" t="s">
        <v>26</v>
      </c>
      <c r="L74" s="13" t="s">
        <v>40</v>
      </c>
      <c r="M74" s="13" t="s">
        <v>27</v>
      </c>
      <c r="N74" s="12">
        <v>44891</v>
      </c>
      <c r="O74" s="17">
        <v>299.99</v>
      </c>
    </row>
    <row r="75" spans="2:15" ht="15.75" customHeight="1" x14ac:dyDescent="0.3">
      <c r="B75" s="11" t="s">
        <v>194</v>
      </c>
      <c r="C75" s="12">
        <v>45487</v>
      </c>
      <c r="D75" s="13" t="s">
        <v>192</v>
      </c>
      <c r="E75" s="13" t="s">
        <v>193</v>
      </c>
      <c r="F75" s="13" t="s">
        <v>126</v>
      </c>
      <c r="G75" s="13" t="s">
        <v>127</v>
      </c>
      <c r="H75" s="13" t="s">
        <v>46</v>
      </c>
      <c r="I75" s="13">
        <v>2</v>
      </c>
      <c r="J75" s="19">
        <v>199.99</v>
      </c>
      <c r="K75" s="13" t="s">
        <v>20</v>
      </c>
      <c r="L75" s="13" t="s">
        <v>40</v>
      </c>
      <c r="M75" s="13" t="s">
        <v>22</v>
      </c>
      <c r="N75" s="12">
        <v>44541</v>
      </c>
      <c r="O75" s="17">
        <v>399.98</v>
      </c>
    </row>
    <row r="76" spans="2:15" ht="15.75" customHeight="1" x14ac:dyDescent="0.3">
      <c r="B76" s="11" t="s">
        <v>195</v>
      </c>
      <c r="C76" s="12">
        <v>45490</v>
      </c>
      <c r="D76" s="13" t="s">
        <v>196</v>
      </c>
      <c r="E76" s="13" t="s">
        <v>197</v>
      </c>
      <c r="F76" s="13" t="s">
        <v>31</v>
      </c>
      <c r="G76" s="13" t="s">
        <v>32</v>
      </c>
      <c r="H76" s="13" t="s">
        <v>33</v>
      </c>
      <c r="I76" s="13">
        <v>3</v>
      </c>
      <c r="J76" s="19">
        <v>59.99</v>
      </c>
      <c r="K76" s="13" t="s">
        <v>26</v>
      </c>
      <c r="L76" s="13" t="s">
        <v>50</v>
      </c>
      <c r="M76" s="13" t="s">
        <v>22</v>
      </c>
      <c r="N76" s="12">
        <v>45130</v>
      </c>
      <c r="O76" s="17">
        <v>179.97</v>
      </c>
    </row>
    <row r="77" spans="2:15" ht="15.75" customHeight="1" x14ac:dyDescent="0.3">
      <c r="B77" s="11" t="s">
        <v>198</v>
      </c>
      <c r="C77" s="12">
        <v>45490</v>
      </c>
      <c r="D77" s="13" t="s">
        <v>72</v>
      </c>
      <c r="E77" s="13" t="s">
        <v>73</v>
      </c>
      <c r="F77" s="13" t="s">
        <v>44</v>
      </c>
      <c r="G77" s="13" t="s">
        <v>45</v>
      </c>
      <c r="H77" s="13" t="s">
        <v>46</v>
      </c>
      <c r="I77" s="13">
        <v>3</v>
      </c>
      <c r="J77" s="19">
        <v>149.99</v>
      </c>
      <c r="K77" s="13" t="s">
        <v>20</v>
      </c>
      <c r="L77" s="13" t="s">
        <v>21</v>
      </c>
      <c r="M77" s="13" t="s">
        <v>27</v>
      </c>
      <c r="N77" s="12">
        <v>45199</v>
      </c>
      <c r="O77" s="17">
        <v>449.97</v>
      </c>
    </row>
    <row r="78" spans="2:15" ht="15.75" customHeight="1" x14ac:dyDescent="0.3">
      <c r="B78" s="11" t="s">
        <v>199</v>
      </c>
      <c r="C78" s="12">
        <v>45491</v>
      </c>
      <c r="D78" s="13" t="s">
        <v>65</v>
      </c>
      <c r="E78" s="13" t="s">
        <v>66</v>
      </c>
      <c r="F78" s="13" t="s">
        <v>126</v>
      </c>
      <c r="G78" s="13" t="s">
        <v>127</v>
      </c>
      <c r="H78" s="13" t="s">
        <v>46</v>
      </c>
      <c r="I78" s="13">
        <v>3</v>
      </c>
      <c r="J78" s="19">
        <v>199.99</v>
      </c>
      <c r="K78" s="13" t="s">
        <v>20</v>
      </c>
      <c r="L78" s="13" t="s">
        <v>40</v>
      </c>
      <c r="M78" s="13" t="s">
        <v>27</v>
      </c>
      <c r="N78" s="12">
        <v>45254</v>
      </c>
      <c r="O78" s="17">
        <v>599.97</v>
      </c>
    </row>
    <row r="79" spans="2:15" ht="15.75" customHeight="1" x14ac:dyDescent="0.3">
      <c r="B79" s="11" t="s">
        <v>200</v>
      </c>
      <c r="C79" s="12">
        <v>45496</v>
      </c>
      <c r="D79" s="13" t="s">
        <v>150</v>
      </c>
      <c r="E79" s="13" t="s">
        <v>151</v>
      </c>
      <c r="F79" s="13" t="s">
        <v>61</v>
      </c>
      <c r="G79" s="13" t="s">
        <v>62</v>
      </c>
      <c r="H79" s="13" t="s">
        <v>19</v>
      </c>
      <c r="I79" s="13">
        <v>1</v>
      </c>
      <c r="J79" s="19">
        <v>899.99</v>
      </c>
      <c r="K79" s="13" t="s">
        <v>20</v>
      </c>
      <c r="L79" s="13" t="s">
        <v>21</v>
      </c>
      <c r="M79" s="13" t="s">
        <v>36</v>
      </c>
      <c r="N79" s="12">
        <v>45179</v>
      </c>
      <c r="O79" s="17">
        <v>899.99</v>
      </c>
    </row>
    <row r="80" spans="2:15" ht="15.75" customHeight="1" x14ac:dyDescent="0.3">
      <c r="B80" s="11" t="s">
        <v>201</v>
      </c>
      <c r="C80" s="12">
        <v>45497</v>
      </c>
      <c r="D80" s="13" t="s">
        <v>24</v>
      </c>
      <c r="E80" s="13" t="s">
        <v>25</v>
      </c>
      <c r="F80" s="13" t="s">
        <v>61</v>
      </c>
      <c r="G80" s="13" t="s">
        <v>62</v>
      </c>
      <c r="H80" s="13" t="s">
        <v>19</v>
      </c>
      <c r="I80" s="13">
        <v>5</v>
      </c>
      <c r="J80" s="19">
        <v>899.99</v>
      </c>
      <c r="K80" s="13" t="s">
        <v>57</v>
      </c>
      <c r="L80" s="13" t="s">
        <v>35</v>
      </c>
      <c r="M80" s="13" t="s">
        <v>36</v>
      </c>
      <c r="N80" s="12">
        <v>44899</v>
      </c>
      <c r="O80" s="17">
        <v>4499.95</v>
      </c>
    </row>
    <row r="81" spans="2:15" ht="15.75" customHeight="1" x14ac:dyDescent="0.3">
      <c r="B81" s="11" t="s">
        <v>202</v>
      </c>
      <c r="C81" s="12">
        <v>45498</v>
      </c>
      <c r="D81" s="13" t="s">
        <v>182</v>
      </c>
      <c r="E81" s="13" t="s">
        <v>183</v>
      </c>
      <c r="F81" s="13" t="s">
        <v>31</v>
      </c>
      <c r="G81" s="13" t="s">
        <v>32</v>
      </c>
      <c r="H81" s="13" t="s">
        <v>33</v>
      </c>
      <c r="I81" s="13">
        <v>2</v>
      </c>
      <c r="J81" s="19">
        <v>59.99</v>
      </c>
      <c r="K81" s="13" t="s">
        <v>20</v>
      </c>
      <c r="L81" s="13" t="s">
        <v>40</v>
      </c>
      <c r="M81" s="13" t="s">
        <v>36</v>
      </c>
      <c r="N81" s="12">
        <v>45152</v>
      </c>
      <c r="O81" s="17">
        <v>119.98</v>
      </c>
    </row>
    <row r="82" spans="2:15" ht="15.75" customHeight="1" x14ac:dyDescent="0.3">
      <c r="B82" s="11" t="s">
        <v>203</v>
      </c>
      <c r="C82" s="12">
        <v>45498</v>
      </c>
      <c r="D82" s="13" t="s">
        <v>196</v>
      </c>
      <c r="E82" s="13" t="s">
        <v>197</v>
      </c>
      <c r="F82" s="13" t="s">
        <v>17</v>
      </c>
      <c r="G82" s="13" t="s">
        <v>18</v>
      </c>
      <c r="H82" s="13" t="s">
        <v>19</v>
      </c>
      <c r="I82" s="13">
        <v>4</v>
      </c>
      <c r="J82" s="19">
        <v>249.99</v>
      </c>
      <c r="K82" s="13" t="s">
        <v>57</v>
      </c>
      <c r="L82" s="13" t="s">
        <v>21</v>
      </c>
      <c r="M82" s="13" t="s">
        <v>36</v>
      </c>
      <c r="N82" s="12">
        <v>45127</v>
      </c>
      <c r="O82" s="17">
        <v>999.96</v>
      </c>
    </row>
    <row r="83" spans="2:15" ht="15.75" customHeight="1" x14ac:dyDescent="0.3">
      <c r="B83" s="11" t="s">
        <v>204</v>
      </c>
      <c r="C83" s="12">
        <v>45500</v>
      </c>
      <c r="D83" s="13" t="s">
        <v>96</v>
      </c>
      <c r="E83" s="13" t="s">
        <v>97</v>
      </c>
      <c r="F83" s="13" t="s">
        <v>17</v>
      </c>
      <c r="G83" s="13" t="s">
        <v>18</v>
      </c>
      <c r="H83" s="13" t="s">
        <v>19</v>
      </c>
      <c r="I83" s="13">
        <v>2</v>
      </c>
      <c r="J83" s="19">
        <v>249.99</v>
      </c>
      <c r="K83" s="13" t="s">
        <v>20</v>
      </c>
      <c r="L83" s="13" t="s">
        <v>40</v>
      </c>
      <c r="M83" s="13" t="s">
        <v>27</v>
      </c>
      <c r="N83" s="12">
        <v>45164</v>
      </c>
      <c r="O83" s="17">
        <v>499.98</v>
      </c>
    </row>
    <row r="84" spans="2:15" ht="15.75" customHeight="1" x14ac:dyDescent="0.3">
      <c r="B84" s="11" t="s">
        <v>205</v>
      </c>
      <c r="C84" s="12">
        <v>45500</v>
      </c>
      <c r="D84" s="13" t="s">
        <v>147</v>
      </c>
      <c r="E84" s="13" t="s">
        <v>148</v>
      </c>
      <c r="F84" s="13" t="s">
        <v>105</v>
      </c>
      <c r="G84" s="13" t="s">
        <v>106</v>
      </c>
      <c r="H84" s="13" t="s">
        <v>46</v>
      </c>
      <c r="I84" s="13">
        <v>1</v>
      </c>
      <c r="J84" s="19">
        <v>299.99</v>
      </c>
      <c r="K84" s="13" t="s">
        <v>20</v>
      </c>
      <c r="L84" s="13" t="s">
        <v>35</v>
      </c>
      <c r="M84" s="13" t="s">
        <v>22</v>
      </c>
      <c r="N84" s="12">
        <v>44982</v>
      </c>
      <c r="O84" s="17">
        <v>299.99</v>
      </c>
    </row>
    <row r="85" spans="2:15" ht="15.75" customHeight="1" x14ac:dyDescent="0.3">
      <c r="B85" s="11" t="s">
        <v>206</v>
      </c>
      <c r="C85" s="12">
        <v>45501</v>
      </c>
      <c r="D85" s="13" t="s">
        <v>86</v>
      </c>
      <c r="E85" s="13" t="s">
        <v>87</v>
      </c>
      <c r="F85" s="13" t="s">
        <v>117</v>
      </c>
      <c r="G85" s="13" t="s">
        <v>118</v>
      </c>
      <c r="H85" s="13" t="s">
        <v>19</v>
      </c>
      <c r="I85" s="13">
        <v>2</v>
      </c>
      <c r="J85" s="19">
        <v>89.99</v>
      </c>
      <c r="K85" s="13" t="s">
        <v>34</v>
      </c>
      <c r="L85" s="13" t="s">
        <v>35</v>
      </c>
      <c r="M85" s="13" t="s">
        <v>22</v>
      </c>
      <c r="N85" s="12">
        <v>44976</v>
      </c>
      <c r="O85" s="17">
        <v>179.98</v>
      </c>
    </row>
    <row r="86" spans="2:15" ht="15.75" customHeight="1" x14ac:dyDescent="0.3">
      <c r="B86" s="11" t="s">
        <v>207</v>
      </c>
      <c r="C86" s="12">
        <v>45501</v>
      </c>
      <c r="D86" s="13" t="s">
        <v>147</v>
      </c>
      <c r="E86" s="13" t="s">
        <v>148</v>
      </c>
      <c r="F86" s="13" t="s">
        <v>105</v>
      </c>
      <c r="G86" s="13" t="s">
        <v>106</v>
      </c>
      <c r="H86" s="13" t="s">
        <v>46</v>
      </c>
      <c r="I86" s="13">
        <v>3</v>
      </c>
      <c r="J86" s="19">
        <v>299.99</v>
      </c>
      <c r="K86" s="13" t="s">
        <v>20</v>
      </c>
      <c r="L86" s="13" t="s">
        <v>21</v>
      </c>
      <c r="M86" s="13" t="s">
        <v>22</v>
      </c>
      <c r="N86" s="12">
        <v>44732</v>
      </c>
      <c r="O86" s="17">
        <v>899.97</v>
      </c>
    </row>
    <row r="87" spans="2:15" ht="15.75" customHeight="1" x14ac:dyDescent="0.3">
      <c r="B87" s="11" t="s">
        <v>208</v>
      </c>
      <c r="C87" s="12">
        <v>45503</v>
      </c>
      <c r="D87" s="13" t="s">
        <v>86</v>
      </c>
      <c r="E87" s="13" t="s">
        <v>87</v>
      </c>
      <c r="F87" s="13" t="s">
        <v>80</v>
      </c>
      <c r="G87" s="13" t="s">
        <v>81</v>
      </c>
      <c r="H87" s="13" t="s">
        <v>19</v>
      </c>
      <c r="I87" s="13">
        <v>2</v>
      </c>
      <c r="J87" s="19">
        <v>699.99</v>
      </c>
      <c r="K87" s="13" t="s">
        <v>26</v>
      </c>
      <c r="L87" s="13" t="s">
        <v>40</v>
      </c>
      <c r="M87" s="13" t="s">
        <v>27</v>
      </c>
      <c r="N87" s="12">
        <v>44999</v>
      </c>
      <c r="O87" s="17">
        <v>1399.98</v>
      </c>
    </row>
    <row r="88" spans="2:15" ht="15.75" customHeight="1" x14ac:dyDescent="0.3">
      <c r="B88" s="11" t="s">
        <v>209</v>
      </c>
      <c r="C88" s="12">
        <v>45504</v>
      </c>
      <c r="D88" s="13" t="s">
        <v>120</v>
      </c>
      <c r="E88" s="13" t="s">
        <v>121</v>
      </c>
      <c r="F88" s="13" t="s">
        <v>61</v>
      </c>
      <c r="G88" s="13" t="s">
        <v>62</v>
      </c>
      <c r="H88" s="13" t="s">
        <v>19</v>
      </c>
      <c r="I88" s="13">
        <v>4</v>
      </c>
      <c r="J88" s="19">
        <v>899.99</v>
      </c>
      <c r="K88" s="13" t="s">
        <v>57</v>
      </c>
      <c r="L88" s="13" t="s">
        <v>35</v>
      </c>
      <c r="M88" s="13" t="s">
        <v>36</v>
      </c>
      <c r="N88" s="12">
        <v>44523</v>
      </c>
      <c r="O88" s="17">
        <v>3599.96</v>
      </c>
    </row>
    <row r="89" spans="2:15" ht="15.75" customHeight="1" x14ac:dyDescent="0.3">
      <c r="B89" s="11" t="s">
        <v>210</v>
      </c>
      <c r="C89" s="12">
        <v>45509</v>
      </c>
      <c r="D89" s="13" t="s">
        <v>211</v>
      </c>
      <c r="E89" s="13" t="s">
        <v>212</v>
      </c>
      <c r="F89" s="13" t="s">
        <v>44</v>
      </c>
      <c r="G89" s="13" t="s">
        <v>45</v>
      </c>
      <c r="H89" s="13" t="s">
        <v>46</v>
      </c>
      <c r="I89" s="13">
        <v>2</v>
      </c>
      <c r="J89" s="19">
        <v>149.99</v>
      </c>
      <c r="K89" s="13" t="s">
        <v>26</v>
      </c>
      <c r="L89" s="13" t="s">
        <v>50</v>
      </c>
      <c r="M89" s="13" t="s">
        <v>22</v>
      </c>
      <c r="N89" s="12">
        <v>44542</v>
      </c>
      <c r="O89" s="17">
        <v>299.98</v>
      </c>
    </row>
    <row r="90" spans="2:15" ht="15.75" customHeight="1" x14ac:dyDescent="0.3">
      <c r="B90" s="11" t="s">
        <v>213</v>
      </c>
      <c r="C90" s="12">
        <v>45510</v>
      </c>
      <c r="D90" s="13" t="s">
        <v>102</v>
      </c>
      <c r="E90" s="13" t="s">
        <v>103</v>
      </c>
      <c r="F90" s="13" t="s">
        <v>44</v>
      </c>
      <c r="G90" s="13" t="s">
        <v>45</v>
      </c>
      <c r="H90" s="13" t="s">
        <v>46</v>
      </c>
      <c r="I90" s="13">
        <v>2</v>
      </c>
      <c r="J90" s="19">
        <v>149.99</v>
      </c>
      <c r="K90" s="13" t="s">
        <v>57</v>
      </c>
      <c r="L90" s="13" t="s">
        <v>63</v>
      </c>
      <c r="M90" s="13" t="s">
        <v>36</v>
      </c>
      <c r="N90" s="12">
        <v>44667</v>
      </c>
      <c r="O90" s="17">
        <v>299.98</v>
      </c>
    </row>
    <row r="91" spans="2:15" ht="15.75" customHeight="1" x14ac:dyDescent="0.3">
      <c r="B91" s="11" t="s">
        <v>214</v>
      </c>
      <c r="C91" s="12">
        <v>45513</v>
      </c>
      <c r="D91" s="13" t="s">
        <v>89</v>
      </c>
      <c r="E91" s="13" t="s">
        <v>90</v>
      </c>
      <c r="F91" s="13" t="s">
        <v>117</v>
      </c>
      <c r="G91" s="13" t="s">
        <v>118</v>
      </c>
      <c r="H91" s="13" t="s">
        <v>19</v>
      </c>
      <c r="I91" s="13">
        <v>1</v>
      </c>
      <c r="J91" s="19">
        <v>89.99</v>
      </c>
      <c r="K91" s="13" t="s">
        <v>26</v>
      </c>
      <c r="L91" s="13" t="s">
        <v>40</v>
      </c>
      <c r="M91" s="13" t="s">
        <v>36</v>
      </c>
      <c r="N91" s="12">
        <v>45393</v>
      </c>
      <c r="O91" s="17">
        <v>89.99</v>
      </c>
    </row>
    <row r="92" spans="2:15" ht="15.75" customHeight="1" x14ac:dyDescent="0.3">
      <c r="B92" s="11" t="s">
        <v>215</v>
      </c>
      <c r="C92" s="12">
        <v>45515</v>
      </c>
      <c r="D92" s="13" t="s">
        <v>86</v>
      </c>
      <c r="E92" s="13" t="s">
        <v>87</v>
      </c>
      <c r="F92" s="13" t="s">
        <v>105</v>
      </c>
      <c r="G92" s="13" t="s">
        <v>106</v>
      </c>
      <c r="H92" s="13" t="s">
        <v>46</v>
      </c>
      <c r="I92" s="13">
        <v>5</v>
      </c>
      <c r="J92" s="19">
        <v>299.99</v>
      </c>
      <c r="K92" s="13" t="s">
        <v>26</v>
      </c>
      <c r="L92" s="13" t="s">
        <v>40</v>
      </c>
      <c r="M92" s="13" t="s">
        <v>22</v>
      </c>
      <c r="N92" s="12">
        <v>44965</v>
      </c>
      <c r="O92" s="17">
        <v>1499.95</v>
      </c>
    </row>
    <row r="93" spans="2:15" ht="15.75" customHeight="1" x14ac:dyDescent="0.3">
      <c r="B93" s="11" t="s">
        <v>216</v>
      </c>
      <c r="C93" s="12">
        <v>45517</v>
      </c>
      <c r="D93" s="13" t="s">
        <v>182</v>
      </c>
      <c r="E93" s="13" t="s">
        <v>183</v>
      </c>
      <c r="F93" s="13" t="s">
        <v>52</v>
      </c>
      <c r="G93" s="13" t="s">
        <v>53</v>
      </c>
      <c r="H93" s="13" t="s">
        <v>19</v>
      </c>
      <c r="I93" s="13">
        <v>4</v>
      </c>
      <c r="J93" s="19">
        <v>149.99</v>
      </c>
      <c r="K93" s="13" t="s">
        <v>57</v>
      </c>
      <c r="L93" s="13" t="s">
        <v>35</v>
      </c>
      <c r="M93" s="13" t="s">
        <v>27</v>
      </c>
      <c r="N93" s="12">
        <v>44820</v>
      </c>
      <c r="O93" s="17">
        <v>599.96</v>
      </c>
    </row>
    <row r="94" spans="2:15" ht="15.75" customHeight="1" x14ac:dyDescent="0.3">
      <c r="B94" s="11" t="s">
        <v>217</v>
      </c>
      <c r="C94" s="12">
        <v>45517</v>
      </c>
      <c r="D94" s="13" t="s">
        <v>185</v>
      </c>
      <c r="E94" s="13" t="s">
        <v>186</v>
      </c>
      <c r="F94" s="13" t="s">
        <v>17</v>
      </c>
      <c r="G94" s="13" t="s">
        <v>18</v>
      </c>
      <c r="H94" s="13" t="s">
        <v>19</v>
      </c>
      <c r="I94" s="13">
        <v>5</v>
      </c>
      <c r="J94" s="19">
        <v>249.99</v>
      </c>
      <c r="K94" s="13" t="s">
        <v>34</v>
      </c>
      <c r="L94" s="13" t="s">
        <v>63</v>
      </c>
      <c r="M94" s="13" t="s">
        <v>27</v>
      </c>
      <c r="N94" s="12">
        <v>44782</v>
      </c>
      <c r="O94" s="17">
        <v>1249.95</v>
      </c>
    </row>
    <row r="95" spans="2:15" ht="15.75" customHeight="1" x14ac:dyDescent="0.3">
      <c r="B95" s="11" t="s">
        <v>218</v>
      </c>
      <c r="C95" s="12">
        <v>45517</v>
      </c>
      <c r="D95" s="13" t="s">
        <v>65</v>
      </c>
      <c r="E95" s="13" t="s">
        <v>66</v>
      </c>
      <c r="F95" s="13" t="s">
        <v>17</v>
      </c>
      <c r="G95" s="13" t="s">
        <v>18</v>
      </c>
      <c r="H95" s="13" t="s">
        <v>19</v>
      </c>
      <c r="I95" s="13">
        <v>3</v>
      </c>
      <c r="J95" s="19">
        <v>249.99</v>
      </c>
      <c r="K95" s="13" t="s">
        <v>34</v>
      </c>
      <c r="L95" s="13" t="s">
        <v>40</v>
      </c>
      <c r="M95" s="13" t="s">
        <v>27</v>
      </c>
      <c r="N95" s="12">
        <v>44465</v>
      </c>
      <c r="O95" s="17">
        <v>749.97</v>
      </c>
    </row>
    <row r="96" spans="2:15" ht="15.75" customHeight="1" x14ac:dyDescent="0.3">
      <c r="B96" s="11" t="s">
        <v>219</v>
      </c>
      <c r="C96" s="12">
        <v>45517</v>
      </c>
      <c r="D96" s="13" t="s">
        <v>38</v>
      </c>
      <c r="E96" s="13" t="s">
        <v>39</v>
      </c>
      <c r="F96" s="13" t="s">
        <v>126</v>
      </c>
      <c r="G96" s="13" t="s">
        <v>127</v>
      </c>
      <c r="H96" s="13" t="s">
        <v>46</v>
      </c>
      <c r="I96" s="13">
        <v>4</v>
      </c>
      <c r="J96" s="19">
        <v>199.99</v>
      </c>
      <c r="K96" s="13" t="s">
        <v>20</v>
      </c>
      <c r="L96" s="13" t="s">
        <v>40</v>
      </c>
      <c r="M96" s="13" t="s">
        <v>36</v>
      </c>
      <c r="N96" s="12">
        <v>44458</v>
      </c>
      <c r="O96" s="17">
        <v>799.96</v>
      </c>
    </row>
    <row r="97" spans="2:15" ht="15.75" customHeight="1" x14ac:dyDescent="0.3">
      <c r="B97" s="11" t="s">
        <v>220</v>
      </c>
      <c r="C97" s="12">
        <v>45519</v>
      </c>
      <c r="D97" s="13" t="s">
        <v>158</v>
      </c>
      <c r="E97" s="13" t="s">
        <v>159</v>
      </c>
      <c r="F97" s="13" t="s">
        <v>126</v>
      </c>
      <c r="G97" s="13" t="s">
        <v>127</v>
      </c>
      <c r="H97" s="13" t="s">
        <v>46</v>
      </c>
      <c r="I97" s="13">
        <v>5</v>
      </c>
      <c r="J97" s="19">
        <v>199.99</v>
      </c>
      <c r="K97" s="13" t="s">
        <v>20</v>
      </c>
      <c r="L97" s="13" t="s">
        <v>40</v>
      </c>
      <c r="M97" s="13" t="s">
        <v>27</v>
      </c>
      <c r="N97" s="12">
        <v>44991</v>
      </c>
      <c r="O97" s="17">
        <v>999.95</v>
      </c>
    </row>
    <row r="98" spans="2:15" ht="15.75" customHeight="1" x14ac:dyDescent="0.3">
      <c r="B98" s="11" t="s">
        <v>221</v>
      </c>
      <c r="C98" s="12">
        <v>45522</v>
      </c>
      <c r="D98" s="13" t="s">
        <v>86</v>
      </c>
      <c r="E98" s="13" t="s">
        <v>87</v>
      </c>
      <c r="F98" s="13" t="s">
        <v>117</v>
      </c>
      <c r="G98" s="13" t="s">
        <v>118</v>
      </c>
      <c r="H98" s="13" t="s">
        <v>19</v>
      </c>
      <c r="I98" s="13">
        <v>2</v>
      </c>
      <c r="J98" s="19">
        <v>89.99</v>
      </c>
      <c r="K98" s="13" t="s">
        <v>20</v>
      </c>
      <c r="L98" s="13" t="s">
        <v>63</v>
      </c>
      <c r="M98" s="13" t="s">
        <v>27</v>
      </c>
      <c r="N98" s="12">
        <v>44972</v>
      </c>
      <c r="O98" s="17">
        <v>179.98</v>
      </c>
    </row>
    <row r="99" spans="2:15" ht="15.75" customHeight="1" x14ac:dyDescent="0.3">
      <c r="B99" s="11" t="s">
        <v>222</v>
      </c>
      <c r="C99" s="12">
        <v>45523</v>
      </c>
      <c r="D99" s="13" t="s">
        <v>196</v>
      </c>
      <c r="E99" s="13" t="s">
        <v>197</v>
      </c>
      <c r="F99" s="13" t="s">
        <v>61</v>
      </c>
      <c r="G99" s="13" t="s">
        <v>62</v>
      </c>
      <c r="H99" s="13" t="s">
        <v>19</v>
      </c>
      <c r="I99" s="13">
        <v>5</v>
      </c>
      <c r="J99" s="19">
        <v>899.99</v>
      </c>
      <c r="K99" s="13" t="s">
        <v>57</v>
      </c>
      <c r="L99" s="13" t="s">
        <v>63</v>
      </c>
      <c r="M99" s="13" t="s">
        <v>22</v>
      </c>
      <c r="N99" s="12">
        <v>44526</v>
      </c>
      <c r="O99" s="17">
        <v>4499.95</v>
      </c>
    </row>
    <row r="100" spans="2:15" ht="15.75" customHeight="1" x14ac:dyDescent="0.3">
      <c r="B100" s="11" t="s">
        <v>223</v>
      </c>
      <c r="C100" s="12">
        <v>45523</v>
      </c>
      <c r="D100" s="13" t="s">
        <v>108</v>
      </c>
      <c r="E100" s="13" t="s">
        <v>109</v>
      </c>
      <c r="F100" s="13" t="s">
        <v>52</v>
      </c>
      <c r="G100" s="13" t="s">
        <v>53</v>
      </c>
      <c r="H100" s="13" t="s">
        <v>19</v>
      </c>
      <c r="I100" s="13">
        <v>3</v>
      </c>
      <c r="J100" s="19">
        <v>149.99</v>
      </c>
      <c r="K100" s="13" t="s">
        <v>34</v>
      </c>
      <c r="L100" s="13" t="s">
        <v>63</v>
      </c>
      <c r="M100" s="13" t="s">
        <v>22</v>
      </c>
      <c r="N100" s="12">
        <v>44574</v>
      </c>
      <c r="O100" s="17">
        <v>449.97</v>
      </c>
    </row>
    <row r="101" spans="2:15" ht="15.75" customHeight="1" x14ac:dyDescent="0.3">
      <c r="B101" s="11" t="s">
        <v>224</v>
      </c>
      <c r="C101" s="12">
        <v>45526</v>
      </c>
      <c r="D101" s="13" t="s">
        <v>102</v>
      </c>
      <c r="E101" s="13" t="s">
        <v>103</v>
      </c>
      <c r="F101" s="13" t="s">
        <v>44</v>
      </c>
      <c r="G101" s="13" t="s">
        <v>45</v>
      </c>
      <c r="H101" s="13" t="s">
        <v>46</v>
      </c>
      <c r="I101" s="13">
        <v>5</v>
      </c>
      <c r="J101" s="19">
        <v>149.99</v>
      </c>
      <c r="K101" s="13" t="s">
        <v>26</v>
      </c>
      <c r="L101" s="13" t="s">
        <v>21</v>
      </c>
      <c r="M101" s="13" t="s">
        <v>22</v>
      </c>
      <c r="N101" s="12">
        <v>45310</v>
      </c>
      <c r="O101" s="17">
        <v>749.95</v>
      </c>
    </row>
    <row r="102" spans="2:15" ht="15.75" customHeight="1" x14ac:dyDescent="0.3">
      <c r="B102" s="11" t="s">
        <v>225</v>
      </c>
      <c r="C102" s="12">
        <v>45528</v>
      </c>
      <c r="D102" s="13" t="s">
        <v>226</v>
      </c>
      <c r="E102" s="13" t="s">
        <v>227</v>
      </c>
      <c r="F102" s="13" t="s">
        <v>114</v>
      </c>
      <c r="G102" s="13" t="s">
        <v>115</v>
      </c>
      <c r="H102" s="13" t="s">
        <v>33</v>
      </c>
      <c r="I102" s="13">
        <v>3</v>
      </c>
      <c r="J102" s="19">
        <v>79.989999999999995</v>
      </c>
      <c r="K102" s="13" t="s">
        <v>20</v>
      </c>
      <c r="L102" s="13" t="s">
        <v>21</v>
      </c>
      <c r="M102" s="13" t="s">
        <v>27</v>
      </c>
      <c r="N102" s="12">
        <v>44779</v>
      </c>
      <c r="O102" s="17">
        <v>239.97</v>
      </c>
    </row>
    <row r="103" spans="2:15" ht="15.75" customHeight="1" x14ac:dyDescent="0.3">
      <c r="B103" s="11" t="s">
        <v>228</v>
      </c>
      <c r="C103" s="12">
        <v>45528</v>
      </c>
      <c r="D103" s="13" t="s">
        <v>144</v>
      </c>
      <c r="E103" s="13" t="s">
        <v>145</v>
      </c>
      <c r="F103" s="13" t="s">
        <v>17</v>
      </c>
      <c r="G103" s="13" t="s">
        <v>18</v>
      </c>
      <c r="H103" s="13" t="s">
        <v>19</v>
      </c>
      <c r="I103" s="13">
        <v>2</v>
      </c>
      <c r="J103" s="19">
        <v>249.99</v>
      </c>
      <c r="K103" s="13" t="s">
        <v>20</v>
      </c>
      <c r="L103" s="13" t="s">
        <v>35</v>
      </c>
      <c r="M103" s="13" t="s">
        <v>36</v>
      </c>
      <c r="N103" s="12">
        <v>44572</v>
      </c>
      <c r="O103" s="17">
        <v>499.98</v>
      </c>
    </row>
    <row r="104" spans="2:15" ht="15.75" customHeight="1" x14ac:dyDescent="0.3">
      <c r="B104" s="11" t="s">
        <v>229</v>
      </c>
      <c r="C104" s="12">
        <v>45532</v>
      </c>
      <c r="D104" s="13" t="s">
        <v>196</v>
      </c>
      <c r="E104" s="13" t="s">
        <v>197</v>
      </c>
      <c r="F104" s="13" t="s">
        <v>80</v>
      </c>
      <c r="G104" s="13" t="s">
        <v>81</v>
      </c>
      <c r="H104" s="13" t="s">
        <v>19</v>
      </c>
      <c r="I104" s="13">
        <v>1</v>
      </c>
      <c r="J104" s="19">
        <v>699.99</v>
      </c>
      <c r="K104" s="13" t="s">
        <v>20</v>
      </c>
      <c r="L104" s="13" t="s">
        <v>21</v>
      </c>
      <c r="M104" s="13" t="s">
        <v>27</v>
      </c>
      <c r="N104" s="12">
        <v>44497</v>
      </c>
      <c r="O104" s="17">
        <v>699.99</v>
      </c>
    </row>
    <row r="105" spans="2:15" ht="15.75" customHeight="1" x14ac:dyDescent="0.3">
      <c r="B105" s="11" t="s">
        <v>230</v>
      </c>
      <c r="C105" s="12">
        <v>45532</v>
      </c>
      <c r="D105" s="13" t="s">
        <v>231</v>
      </c>
      <c r="E105" s="13" t="s">
        <v>232</v>
      </c>
      <c r="F105" s="13" t="s">
        <v>52</v>
      </c>
      <c r="G105" s="13" t="s">
        <v>53</v>
      </c>
      <c r="H105" s="13" t="s">
        <v>19</v>
      </c>
      <c r="I105" s="13">
        <v>3</v>
      </c>
      <c r="J105" s="19">
        <v>149.99</v>
      </c>
      <c r="K105" s="13" t="s">
        <v>20</v>
      </c>
      <c r="L105" s="13" t="s">
        <v>50</v>
      </c>
      <c r="M105" s="13" t="s">
        <v>27</v>
      </c>
      <c r="N105" s="12">
        <v>45212</v>
      </c>
      <c r="O105" s="17">
        <v>449.97</v>
      </c>
    </row>
    <row r="106" spans="2:15" ht="15.75" customHeight="1" x14ac:dyDescent="0.3">
      <c r="B106" s="11" t="s">
        <v>233</v>
      </c>
      <c r="C106" s="12">
        <v>45534</v>
      </c>
      <c r="D106" s="13" t="s">
        <v>234</v>
      </c>
      <c r="E106" s="13" t="s">
        <v>235</v>
      </c>
      <c r="F106" s="13" t="s">
        <v>80</v>
      </c>
      <c r="G106" s="13" t="s">
        <v>81</v>
      </c>
      <c r="H106" s="13" t="s">
        <v>19</v>
      </c>
      <c r="I106" s="13">
        <v>2</v>
      </c>
      <c r="J106" s="19">
        <v>699.99</v>
      </c>
      <c r="K106" s="13" t="s">
        <v>26</v>
      </c>
      <c r="L106" s="13" t="s">
        <v>40</v>
      </c>
      <c r="M106" s="13" t="s">
        <v>27</v>
      </c>
      <c r="N106" s="12">
        <v>44421</v>
      </c>
      <c r="O106" s="17">
        <v>1399.98</v>
      </c>
    </row>
    <row r="107" spans="2:15" ht="15.75" customHeight="1" x14ac:dyDescent="0.3">
      <c r="B107" s="11" t="s">
        <v>236</v>
      </c>
      <c r="C107" s="12">
        <v>45537</v>
      </c>
      <c r="D107" s="13" t="s">
        <v>231</v>
      </c>
      <c r="E107" s="13" t="s">
        <v>232</v>
      </c>
      <c r="F107" s="13" t="s">
        <v>17</v>
      </c>
      <c r="G107" s="13" t="s">
        <v>18</v>
      </c>
      <c r="H107" s="13" t="s">
        <v>19</v>
      </c>
      <c r="I107" s="13">
        <v>1</v>
      </c>
      <c r="J107" s="19">
        <v>249.99</v>
      </c>
      <c r="K107" s="13" t="s">
        <v>26</v>
      </c>
      <c r="L107" s="13" t="s">
        <v>50</v>
      </c>
      <c r="M107" s="13" t="s">
        <v>27</v>
      </c>
      <c r="N107" s="12">
        <v>44685</v>
      </c>
      <c r="O107" s="17">
        <v>249.99</v>
      </c>
    </row>
    <row r="108" spans="2:15" ht="15.75" customHeight="1" x14ac:dyDescent="0.3">
      <c r="B108" s="11" t="s">
        <v>237</v>
      </c>
      <c r="C108" s="12">
        <v>45537</v>
      </c>
      <c r="D108" s="13" t="s">
        <v>15</v>
      </c>
      <c r="E108" s="13" t="s">
        <v>16</v>
      </c>
      <c r="F108" s="13" t="s">
        <v>17</v>
      </c>
      <c r="G108" s="13" t="s">
        <v>18</v>
      </c>
      <c r="H108" s="13" t="s">
        <v>19</v>
      </c>
      <c r="I108" s="13">
        <v>1</v>
      </c>
      <c r="J108" s="19">
        <v>249.99</v>
      </c>
      <c r="K108" s="13" t="s">
        <v>57</v>
      </c>
      <c r="L108" s="13" t="s">
        <v>40</v>
      </c>
      <c r="M108" s="13" t="s">
        <v>27</v>
      </c>
      <c r="N108" s="12">
        <v>45332</v>
      </c>
      <c r="O108" s="17">
        <v>249.99</v>
      </c>
    </row>
    <row r="109" spans="2:15" ht="15.75" customHeight="1" x14ac:dyDescent="0.3">
      <c r="B109" s="11" t="s">
        <v>238</v>
      </c>
      <c r="C109" s="12">
        <v>45538</v>
      </c>
      <c r="D109" s="13" t="s">
        <v>226</v>
      </c>
      <c r="E109" s="13" t="s">
        <v>227</v>
      </c>
      <c r="F109" s="13" t="s">
        <v>80</v>
      </c>
      <c r="G109" s="13" t="s">
        <v>81</v>
      </c>
      <c r="H109" s="13" t="s">
        <v>19</v>
      </c>
      <c r="I109" s="13">
        <v>2</v>
      </c>
      <c r="J109" s="19">
        <v>699.99</v>
      </c>
      <c r="K109" s="13" t="s">
        <v>57</v>
      </c>
      <c r="L109" s="13" t="s">
        <v>21</v>
      </c>
      <c r="M109" s="13" t="s">
        <v>27</v>
      </c>
      <c r="N109" s="12">
        <v>44870</v>
      </c>
      <c r="O109" s="17">
        <v>1399.98</v>
      </c>
    </row>
    <row r="110" spans="2:15" ht="15.75" customHeight="1" x14ac:dyDescent="0.3">
      <c r="B110" s="11" t="s">
        <v>239</v>
      </c>
      <c r="C110" s="12">
        <v>45541</v>
      </c>
      <c r="D110" s="13" t="s">
        <v>138</v>
      </c>
      <c r="E110" s="13" t="s">
        <v>139</v>
      </c>
      <c r="F110" s="13" t="s">
        <v>31</v>
      </c>
      <c r="G110" s="13" t="s">
        <v>32</v>
      </c>
      <c r="H110" s="13" t="s">
        <v>33</v>
      </c>
      <c r="I110" s="13">
        <v>3</v>
      </c>
      <c r="J110" s="19">
        <v>59.99</v>
      </c>
      <c r="K110" s="13" t="s">
        <v>26</v>
      </c>
      <c r="L110" s="13" t="s">
        <v>21</v>
      </c>
      <c r="M110" s="13" t="s">
        <v>27</v>
      </c>
      <c r="N110" s="12">
        <v>44717</v>
      </c>
      <c r="O110" s="17">
        <v>179.97</v>
      </c>
    </row>
    <row r="111" spans="2:15" ht="15.75" customHeight="1" x14ac:dyDescent="0.3">
      <c r="B111" s="11" t="s">
        <v>240</v>
      </c>
      <c r="C111" s="12">
        <v>45544</v>
      </c>
      <c r="D111" s="13" t="s">
        <v>132</v>
      </c>
      <c r="E111" s="13" t="s">
        <v>133</v>
      </c>
      <c r="F111" s="13" t="s">
        <v>31</v>
      </c>
      <c r="G111" s="13" t="s">
        <v>32</v>
      </c>
      <c r="H111" s="13" t="s">
        <v>33</v>
      </c>
      <c r="I111" s="13">
        <v>3</v>
      </c>
      <c r="J111" s="19">
        <v>59.99</v>
      </c>
      <c r="K111" s="13" t="s">
        <v>34</v>
      </c>
      <c r="L111" s="13" t="s">
        <v>63</v>
      </c>
      <c r="M111" s="13" t="s">
        <v>36</v>
      </c>
      <c r="N111" s="12">
        <v>44748</v>
      </c>
      <c r="O111" s="17">
        <v>179.97</v>
      </c>
    </row>
    <row r="112" spans="2:15" ht="15.75" customHeight="1" x14ac:dyDescent="0.3">
      <c r="B112" s="11" t="s">
        <v>241</v>
      </c>
      <c r="C112" s="12">
        <v>45544</v>
      </c>
      <c r="D112" s="13" t="s">
        <v>141</v>
      </c>
      <c r="E112" s="13" t="s">
        <v>142</v>
      </c>
      <c r="F112" s="13" t="s">
        <v>114</v>
      </c>
      <c r="G112" s="13" t="s">
        <v>115</v>
      </c>
      <c r="H112" s="13" t="s">
        <v>33</v>
      </c>
      <c r="I112" s="13">
        <v>4</v>
      </c>
      <c r="J112" s="19">
        <v>79.989999999999995</v>
      </c>
      <c r="K112" s="13" t="s">
        <v>20</v>
      </c>
      <c r="L112" s="13" t="s">
        <v>40</v>
      </c>
      <c r="M112" s="13" t="s">
        <v>22</v>
      </c>
      <c r="N112" s="12">
        <v>44530</v>
      </c>
      <c r="O112" s="17">
        <v>319.95999999999998</v>
      </c>
    </row>
    <row r="113" spans="2:15" ht="15.75" customHeight="1" x14ac:dyDescent="0.3">
      <c r="B113" s="11" t="s">
        <v>242</v>
      </c>
      <c r="C113" s="12">
        <v>45545</v>
      </c>
      <c r="D113" s="13" t="s">
        <v>55</v>
      </c>
      <c r="E113" s="13" t="s">
        <v>56</v>
      </c>
      <c r="F113" s="13" t="s">
        <v>114</v>
      </c>
      <c r="G113" s="13" t="s">
        <v>115</v>
      </c>
      <c r="H113" s="13" t="s">
        <v>33</v>
      </c>
      <c r="I113" s="13">
        <v>1</v>
      </c>
      <c r="J113" s="19">
        <v>79.989999999999995</v>
      </c>
      <c r="K113" s="13" t="s">
        <v>20</v>
      </c>
      <c r="L113" s="13" t="s">
        <v>50</v>
      </c>
      <c r="M113" s="13" t="s">
        <v>22</v>
      </c>
      <c r="N113" s="12">
        <v>44693</v>
      </c>
      <c r="O113" s="17">
        <v>79.989999999999995</v>
      </c>
    </row>
    <row r="114" spans="2:15" ht="15.75" customHeight="1" x14ac:dyDescent="0.3">
      <c r="B114" s="11" t="s">
        <v>243</v>
      </c>
      <c r="C114" s="12">
        <v>45547</v>
      </c>
      <c r="D114" s="13" t="s">
        <v>48</v>
      </c>
      <c r="E114" s="13" t="s">
        <v>49</v>
      </c>
      <c r="F114" s="13" t="s">
        <v>105</v>
      </c>
      <c r="G114" s="13" t="s">
        <v>106</v>
      </c>
      <c r="H114" s="13" t="s">
        <v>46</v>
      </c>
      <c r="I114" s="13">
        <v>3</v>
      </c>
      <c r="J114" s="19">
        <v>299.99</v>
      </c>
      <c r="K114" s="13" t="s">
        <v>26</v>
      </c>
      <c r="L114" s="13" t="s">
        <v>21</v>
      </c>
      <c r="M114" s="13" t="s">
        <v>27</v>
      </c>
      <c r="N114" s="12">
        <v>44494</v>
      </c>
      <c r="O114" s="17">
        <v>899.97</v>
      </c>
    </row>
    <row r="115" spans="2:15" ht="15.75" customHeight="1" x14ac:dyDescent="0.3">
      <c r="B115" s="11" t="s">
        <v>244</v>
      </c>
      <c r="C115" s="12">
        <v>45548</v>
      </c>
      <c r="D115" s="13" t="s">
        <v>38</v>
      </c>
      <c r="E115" s="13" t="s">
        <v>39</v>
      </c>
      <c r="F115" s="13" t="s">
        <v>117</v>
      </c>
      <c r="G115" s="13" t="s">
        <v>118</v>
      </c>
      <c r="H115" s="13" t="s">
        <v>19</v>
      </c>
      <c r="I115" s="13">
        <v>2</v>
      </c>
      <c r="J115" s="19">
        <v>89.99</v>
      </c>
      <c r="K115" s="13" t="s">
        <v>26</v>
      </c>
      <c r="L115" s="13" t="s">
        <v>35</v>
      </c>
      <c r="M115" s="13" t="s">
        <v>27</v>
      </c>
      <c r="N115" s="12">
        <v>44641</v>
      </c>
      <c r="O115" s="17">
        <v>179.98</v>
      </c>
    </row>
    <row r="116" spans="2:15" ht="15.75" customHeight="1" x14ac:dyDescent="0.3">
      <c r="B116" s="11" t="s">
        <v>245</v>
      </c>
      <c r="C116" s="12">
        <v>45550</v>
      </c>
      <c r="D116" s="13" t="s">
        <v>246</v>
      </c>
      <c r="E116" s="13" t="s">
        <v>247</v>
      </c>
      <c r="F116" s="13" t="s">
        <v>52</v>
      </c>
      <c r="G116" s="13" t="s">
        <v>53</v>
      </c>
      <c r="H116" s="13" t="s">
        <v>19</v>
      </c>
      <c r="I116" s="13">
        <v>4</v>
      </c>
      <c r="J116" s="19">
        <v>149.99</v>
      </c>
      <c r="K116" s="13" t="s">
        <v>20</v>
      </c>
      <c r="L116" s="13" t="s">
        <v>40</v>
      </c>
      <c r="M116" s="13" t="s">
        <v>22</v>
      </c>
      <c r="N116" s="12">
        <v>44909</v>
      </c>
      <c r="O116" s="17">
        <v>599.96</v>
      </c>
    </row>
    <row r="117" spans="2:15" ht="15.75" customHeight="1" x14ac:dyDescent="0.3">
      <c r="B117" s="11" t="s">
        <v>248</v>
      </c>
      <c r="C117" s="12">
        <v>45551</v>
      </c>
      <c r="D117" s="13" t="s">
        <v>65</v>
      </c>
      <c r="E117" s="13" t="s">
        <v>66</v>
      </c>
      <c r="F117" s="13" t="s">
        <v>17</v>
      </c>
      <c r="G117" s="13" t="s">
        <v>18</v>
      </c>
      <c r="H117" s="13" t="s">
        <v>19</v>
      </c>
      <c r="I117" s="13">
        <v>2</v>
      </c>
      <c r="J117" s="19">
        <v>249.99</v>
      </c>
      <c r="K117" s="13" t="s">
        <v>34</v>
      </c>
      <c r="L117" s="13" t="s">
        <v>35</v>
      </c>
      <c r="M117" s="13" t="s">
        <v>22</v>
      </c>
      <c r="N117" s="12">
        <v>44993</v>
      </c>
      <c r="O117" s="17">
        <v>499.98</v>
      </c>
    </row>
    <row r="118" spans="2:15" ht="15.75" customHeight="1" x14ac:dyDescent="0.3">
      <c r="B118" s="11" t="s">
        <v>249</v>
      </c>
      <c r="C118" s="12">
        <v>45551</v>
      </c>
      <c r="D118" s="13" t="s">
        <v>154</v>
      </c>
      <c r="E118" s="13" t="s">
        <v>155</v>
      </c>
      <c r="F118" s="13" t="s">
        <v>126</v>
      </c>
      <c r="G118" s="13" t="s">
        <v>127</v>
      </c>
      <c r="H118" s="13" t="s">
        <v>46</v>
      </c>
      <c r="I118" s="13">
        <v>4</v>
      </c>
      <c r="J118" s="19">
        <v>199.99</v>
      </c>
      <c r="K118" s="13" t="s">
        <v>57</v>
      </c>
      <c r="L118" s="13" t="s">
        <v>63</v>
      </c>
      <c r="M118" s="13" t="s">
        <v>22</v>
      </c>
      <c r="N118" s="12">
        <v>44458</v>
      </c>
      <c r="O118" s="17">
        <v>799.96</v>
      </c>
    </row>
    <row r="119" spans="2:15" ht="15.75" customHeight="1" x14ac:dyDescent="0.3">
      <c r="B119" s="11" t="s">
        <v>250</v>
      </c>
      <c r="C119" s="12">
        <v>45554</v>
      </c>
      <c r="D119" s="13" t="s">
        <v>147</v>
      </c>
      <c r="E119" s="13" t="s">
        <v>148</v>
      </c>
      <c r="F119" s="13" t="s">
        <v>117</v>
      </c>
      <c r="G119" s="13" t="s">
        <v>118</v>
      </c>
      <c r="H119" s="13" t="s">
        <v>19</v>
      </c>
      <c r="I119" s="13">
        <v>5</v>
      </c>
      <c r="J119" s="19">
        <v>89.99</v>
      </c>
      <c r="K119" s="13" t="s">
        <v>26</v>
      </c>
      <c r="L119" s="13" t="s">
        <v>63</v>
      </c>
      <c r="M119" s="13" t="s">
        <v>27</v>
      </c>
      <c r="N119" s="12">
        <v>44446</v>
      </c>
      <c r="O119" s="17">
        <v>449.95</v>
      </c>
    </row>
    <row r="120" spans="2:15" ht="15.75" customHeight="1" x14ac:dyDescent="0.3">
      <c r="B120" s="11" t="s">
        <v>251</v>
      </c>
      <c r="C120" s="12">
        <v>45554</v>
      </c>
      <c r="D120" s="13" t="s">
        <v>252</v>
      </c>
      <c r="E120" s="13" t="s">
        <v>253</v>
      </c>
      <c r="F120" s="13" t="s">
        <v>52</v>
      </c>
      <c r="G120" s="13" t="s">
        <v>53</v>
      </c>
      <c r="H120" s="13" t="s">
        <v>19</v>
      </c>
      <c r="I120" s="13">
        <v>1</v>
      </c>
      <c r="J120" s="19">
        <v>149.99</v>
      </c>
      <c r="K120" s="13" t="s">
        <v>34</v>
      </c>
      <c r="L120" s="13" t="s">
        <v>63</v>
      </c>
      <c r="M120" s="13" t="s">
        <v>36</v>
      </c>
      <c r="N120" s="12">
        <v>44482</v>
      </c>
      <c r="O120" s="17">
        <v>149.99</v>
      </c>
    </row>
    <row r="121" spans="2:15" ht="15.75" customHeight="1" x14ac:dyDescent="0.3">
      <c r="B121" s="11" t="s">
        <v>254</v>
      </c>
      <c r="C121" s="12">
        <v>45554</v>
      </c>
      <c r="D121" s="13" t="s">
        <v>72</v>
      </c>
      <c r="E121" s="13" t="s">
        <v>73</v>
      </c>
      <c r="F121" s="13" t="s">
        <v>80</v>
      </c>
      <c r="G121" s="13" t="s">
        <v>81</v>
      </c>
      <c r="H121" s="13" t="s">
        <v>19</v>
      </c>
      <c r="I121" s="13">
        <v>4</v>
      </c>
      <c r="J121" s="19">
        <v>699.99</v>
      </c>
      <c r="K121" s="13" t="s">
        <v>34</v>
      </c>
      <c r="L121" s="13" t="s">
        <v>35</v>
      </c>
      <c r="M121" s="13" t="s">
        <v>22</v>
      </c>
      <c r="N121" s="12">
        <v>44618</v>
      </c>
      <c r="O121" s="17">
        <v>2799.96</v>
      </c>
    </row>
    <row r="122" spans="2:15" ht="15.75" customHeight="1" x14ac:dyDescent="0.3">
      <c r="B122" s="11" t="s">
        <v>255</v>
      </c>
      <c r="C122" s="12">
        <v>45559</v>
      </c>
      <c r="D122" s="13" t="s">
        <v>234</v>
      </c>
      <c r="E122" s="13" t="s">
        <v>235</v>
      </c>
      <c r="F122" s="13" t="s">
        <v>61</v>
      </c>
      <c r="G122" s="13" t="s">
        <v>62</v>
      </c>
      <c r="H122" s="13" t="s">
        <v>19</v>
      </c>
      <c r="I122" s="13">
        <v>3</v>
      </c>
      <c r="J122" s="19">
        <v>899.99</v>
      </c>
      <c r="K122" s="13" t="s">
        <v>26</v>
      </c>
      <c r="L122" s="13" t="s">
        <v>40</v>
      </c>
      <c r="M122" s="13" t="s">
        <v>36</v>
      </c>
      <c r="N122" s="12">
        <v>45157</v>
      </c>
      <c r="O122" s="17">
        <v>2699.97</v>
      </c>
    </row>
    <row r="123" spans="2:15" ht="15.75" customHeight="1" x14ac:dyDescent="0.3">
      <c r="B123" s="11" t="s">
        <v>256</v>
      </c>
      <c r="C123" s="12">
        <v>45560</v>
      </c>
      <c r="D123" s="13" t="s">
        <v>112</v>
      </c>
      <c r="E123" s="13" t="s">
        <v>113</v>
      </c>
      <c r="F123" s="13" t="s">
        <v>44</v>
      </c>
      <c r="G123" s="13" t="s">
        <v>45</v>
      </c>
      <c r="H123" s="13" t="s">
        <v>46</v>
      </c>
      <c r="I123" s="13">
        <v>3</v>
      </c>
      <c r="J123" s="19">
        <v>149.99</v>
      </c>
      <c r="K123" s="13" t="s">
        <v>34</v>
      </c>
      <c r="L123" s="13" t="s">
        <v>63</v>
      </c>
      <c r="M123" s="13" t="s">
        <v>22</v>
      </c>
      <c r="N123" s="12">
        <v>44886</v>
      </c>
      <c r="O123" s="17">
        <v>449.97</v>
      </c>
    </row>
    <row r="124" spans="2:15" ht="15.75" customHeight="1" x14ac:dyDescent="0.3">
      <c r="B124" s="11" t="s">
        <v>257</v>
      </c>
      <c r="C124" s="12">
        <v>45563</v>
      </c>
      <c r="D124" s="13" t="s">
        <v>99</v>
      </c>
      <c r="E124" s="13" t="s">
        <v>100</v>
      </c>
      <c r="F124" s="13" t="s">
        <v>105</v>
      </c>
      <c r="G124" s="13" t="s">
        <v>106</v>
      </c>
      <c r="H124" s="13" t="s">
        <v>46</v>
      </c>
      <c r="I124" s="13">
        <v>2</v>
      </c>
      <c r="J124" s="19">
        <v>299.99</v>
      </c>
      <c r="K124" s="13" t="s">
        <v>57</v>
      </c>
      <c r="L124" s="13" t="s">
        <v>21</v>
      </c>
      <c r="M124" s="13" t="s">
        <v>22</v>
      </c>
      <c r="N124" s="12">
        <v>44569</v>
      </c>
      <c r="O124" s="17">
        <v>599.98</v>
      </c>
    </row>
    <row r="125" spans="2:15" ht="15.75" customHeight="1" x14ac:dyDescent="0.3">
      <c r="B125" s="11" t="s">
        <v>258</v>
      </c>
      <c r="C125" s="12">
        <v>45564</v>
      </c>
      <c r="D125" s="13" t="s">
        <v>259</v>
      </c>
      <c r="E125" s="13" t="s">
        <v>260</v>
      </c>
      <c r="F125" s="13" t="s">
        <v>126</v>
      </c>
      <c r="G125" s="13" t="s">
        <v>127</v>
      </c>
      <c r="H125" s="13" t="s">
        <v>46</v>
      </c>
      <c r="I125" s="13">
        <v>1</v>
      </c>
      <c r="J125" s="19">
        <v>199.99</v>
      </c>
      <c r="K125" s="13" t="s">
        <v>57</v>
      </c>
      <c r="L125" s="13" t="s">
        <v>63</v>
      </c>
      <c r="M125" s="13" t="s">
        <v>36</v>
      </c>
      <c r="N125" s="12">
        <v>44953</v>
      </c>
      <c r="O125" s="17">
        <v>199.99</v>
      </c>
    </row>
    <row r="126" spans="2:15" ht="15.75" customHeight="1" x14ac:dyDescent="0.3">
      <c r="B126" s="11" t="s">
        <v>261</v>
      </c>
      <c r="C126" s="12">
        <v>45566</v>
      </c>
      <c r="D126" s="13" t="s">
        <v>42</v>
      </c>
      <c r="E126" s="13" t="s">
        <v>43</v>
      </c>
      <c r="F126" s="13" t="s">
        <v>105</v>
      </c>
      <c r="G126" s="13" t="s">
        <v>106</v>
      </c>
      <c r="H126" s="13" t="s">
        <v>46</v>
      </c>
      <c r="I126" s="13">
        <v>4</v>
      </c>
      <c r="J126" s="19">
        <v>299.99</v>
      </c>
      <c r="K126" s="13" t="s">
        <v>20</v>
      </c>
      <c r="L126" s="13" t="s">
        <v>21</v>
      </c>
      <c r="M126" s="13" t="s">
        <v>27</v>
      </c>
      <c r="N126" s="12">
        <v>44460</v>
      </c>
      <c r="O126" s="17">
        <v>1199.96</v>
      </c>
    </row>
    <row r="127" spans="2:15" ht="15.75" customHeight="1" x14ac:dyDescent="0.3">
      <c r="B127" s="11" t="s">
        <v>262</v>
      </c>
      <c r="C127" s="12">
        <v>45572</v>
      </c>
      <c r="D127" s="13" t="s">
        <v>89</v>
      </c>
      <c r="E127" s="13" t="s">
        <v>90</v>
      </c>
      <c r="F127" s="13" t="s">
        <v>31</v>
      </c>
      <c r="G127" s="13" t="s">
        <v>32</v>
      </c>
      <c r="H127" s="13" t="s">
        <v>33</v>
      </c>
      <c r="I127" s="13">
        <v>2</v>
      </c>
      <c r="J127" s="19">
        <v>59.99</v>
      </c>
      <c r="K127" s="13" t="s">
        <v>26</v>
      </c>
      <c r="L127" s="13" t="s">
        <v>21</v>
      </c>
      <c r="M127" s="13" t="s">
        <v>22</v>
      </c>
      <c r="N127" s="12">
        <v>44579</v>
      </c>
      <c r="O127" s="17">
        <v>119.98</v>
      </c>
    </row>
    <row r="128" spans="2:15" ht="15.75" customHeight="1" x14ac:dyDescent="0.3">
      <c r="B128" s="11" t="s">
        <v>263</v>
      </c>
      <c r="C128" s="12">
        <v>45572</v>
      </c>
      <c r="D128" s="13" t="s">
        <v>234</v>
      </c>
      <c r="E128" s="13" t="s">
        <v>235</v>
      </c>
      <c r="F128" s="13" t="s">
        <v>52</v>
      </c>
      <c r="G128" s="13" t="s">
        <v>53</v>
      </c>
      <c r="H128" s="13" t="s">
        <v>19</v>
      </c>
      <c r="I128" s="13">
        <v>4</v>
      </c>
      <c r="J128" s="19">
        <v>149.99</v>
      </c>
      <c r="K128" s="13" t="s">
        <v>26</v>
      </c>
      <c r="L128" s="13" t="s">
        <v>40</v>
      </c>
      <c r="M128" s="13" t="s">
        <v>27</v>
      </c>
      <c r="N128" s="12">
        <v>45076</v>
      </c>
      <c r="O128" s="17">
        <v>599.96</v>
      </c>
    </row>
    <row r="129" spans="2:15" ht="15.75" customHeight="1" x14ac:dyDescent="0.3">
      <c r="B129" s="11" t="s">
        <v>264</v>
      </c>
      <c r="C129" s="12">
        <v>45573</v>
      </c>
      <c r="D129" s="13" t="s">
        <v>211</v>
      </c>
      <c r="E129" s="13" t="s">
        <v>212</v>
      </c>
      <c r="F129" s="13" t="s">
        <v>80</v>
      </c>
      <c r="G129" s="13" t="s">
        <v>81</v>
      </c>
      <c r="H129" s="13" t="s">
        <v>19</v>
      </c>
      <c r="I129" s="13">
        <v>2</v>
      </c>
      <c r="J129" s="19">
        <v>699.99</v>
      </c>
      <c r="K129" s="13" t="s">
        <v>57</v>
      </c>
      <c r="L129" s="13" t="s">
        <v>63</v>
      </c>
      <c r="M129" s="13" t="s">
        <v>27</v>
      </c>
      <c r="N129" s="12">
        <v>45274</v>
      </c>
      <c r="O129" s="17">
        <v>1399.98</v>
      </c>
    </row>
    <row r="130" spans="2:15" ht="15.75" customHeight="1" x14ac:dyDescent="0.3">
      <c r="B130" s="11" t="s">
        <v>265</v>
      </c>
      <c r="C130" s="12">
        <v>45573</v>
      </c>
      <c r="D130" s="13" t="s">
        <v>231</v>
      </c>
      <c r="E130" s="13" t="s">
        <v>232</v>
      </c>
      <c r="F130" s="13" t="s">
        <v>44</v>
      </c>
      <c r="G130" s="13" t="s">
        <v>45</v>
      </c>
      <c r="H130" s="13" t="s">
        <v>46</v>
      </c>
      <c r="I130" s="13">
        <v>3</v>
      </c>
      <c r="J130" s="19">
        <v>149.99</v>
      </c>
      <c r="K130" s="13" t="s">
        <v>26</v>
      </c>
      <c r="L130" s="13" t="s">
        <v>35</v>
      </c>
      <c r="M130" s="13" t="s">
        <v>36</v>
      </c>
      <c r="N130" s="12">
        <v>44940</v>
      </c>
      <c r="O130" s="17">
        <v>449.97</v>
      </c>
    </row>
    <row r="131" spans="2:15" ht="15.75" customHeight="1" x14ac:dyDescent="0.3">
      <c r="B131" s="11" t="s">
        <v>266</v>
      </c>
      <c r="C131" s="12">
        <v>45576</v>
      </c>
      <c r="D131" s="13" t="s">
        <v>147</v>
      </c>
      <c r="E131" s="13" t="s">
        <v>148</v>
      </c>
      <c r="F131" s="13" t="s">
        <v>105</v>
      </c>
      <c r="G131" s="13" t="s">
        <v>106</v>
      </c>
      <c r="H131" s="13" t="s">
        <v>46</v>
      </c>
      <c r="I131" s="13">
        <v>3</v>
      </c>
      <c r="J131" s="19">
        <v>299.99</v>
      </c>
      <c r="K131" s="13" t="s">
        <v>26</v>
      </c>
      <c r="L131" s="13" t="s">
        <v>21</v>
      </c>
      <c r="M131" s="13" t="s">
        <v>36</v>
      </c>
      <c r="N131" s="12">
        <v>45174</v>
      </c>
      <c r="O131" s="17">
        <v>899.97</v>
      </c>
    </row>
    <row r="132" spans="2:15" ht="15.75" customHeight="1" x14ac:dyDescent="0.3">
      <c r="B132" s="11" t="s">
        <v>267</v>
      </c>
      <c r="C132" s="12">
        <v>45579</v>
      </c>
      <c r="D132" s="13" t="s">
        <v>83</v>
      </c>
      <c r="E132" s="13" t="s">
        <v>84</v>
      </c>
      <c r="F132" s="13" t="s">
        <v>61</v>
      </c>
      <c r="G132" s="13" t="s">
        <v>62</v>
      </c>
      <c r="H132" s="13" t="s">
        <v>19</v>
      </c>
      <c r="I132" s="13">
        <v>3</v>
      </c>
      <c r="J132" s="19">
        <v>899.99</v>
      </c>
      <c r="K132" s="13" t="s">
        <v>34</v>
      </c>
      <c r="L132" s="13" t="s">
        <v>50</v>
      </c>
      <c r="M132" s="13" t="s">
        <v>22</v>
      </c>
      <c r="N132" s="12">
        <v>45215</v>
      </c>
      <c r="O132" s="17">
        <v>2699.97</v>
      </c>
    </row>
    <row r="133" spans="2:15" ht="15.75" customHeight="1" x14ac:dyDescent="0.3">
      <c r="B133" s="11" t="s">
        <v>268</v>
      </c>
      <c r="C133" s="12">
        <v>45581</v>
      </c>
      <c r="D133" s="13" t="s">
        <v>96</v>
      </c>
      <c r="E133" s="13" t="s">
        <v>97</v>
      </c>
      <c r="F133" s="13" t="s">
        <v>80</v>
      </c>
      <c r="G133" s="13" t="s">
        <v>81</v>
      </c>
      <c r="H133" s="13" t="s">
        <v>19</v>
      </c>
      <c r="I133" s="13">
        <v>5</v>
      </c>
      <c r="J133" s="19">
        <v>699.99</v>
      </c>
      <c r="K133" s="13" t="s">
        <v>20</v>
      </c>
      <c r="L133" s="13" t="s">
        <v>63</v>
      </c>
      <c r="M133" s="13" t="s">
        <v>36</v>
      </c>
      <c r="N133" s="12">
        <v>45008</v>
      </c>
      <c r="O133" s="17">
        <v>3499.95</v>
      </c>
    </row>
    <row r="134" spans="2:15" ht="15.75" customHeight="1" x14ac:dyDescent="0.3">
      <c r="B134" s="11" t="s">
        <v>269</v>
      </c>
      <c r="C134" s="12">
        <v>45581</v>
      </c>
      <c r="D134" s="13" t="s">
        <v>171</v>
      </c>
      <c r="E134" s="13" t="s">
        <v>172</v>
      </c>
      <c r="F134" s="13" t="s">
        <v>80</v>
      </c>
      <c r="G134" s="13" t="s">
        <v>81</v>
      </c>
      <c r="H134" s="13" t="s">
        <v>19</v>
      </c>
      <c r="I134" s="13">
        <v>4</v>
      </c>
      <c r="J134" s="19">
        <v>699.99</v>
      </c>
      <c r="K134" s="13" t="s">
        <v>26</v>
      </c>
      <c r="L134" s="13" t="s">
        <v>21</v>
      </c>
      <c r="M134" s="13" t="s">
        <v>22</v>
      </c>
      <c r="N134" s="12">
        <v>45385</v>
      </c>
      <c r="O134" s="17">
        <v>2799.96</v>
      </c>
    </row>
    <row r="135" spans="2:15" ht="15.75" customHeight="1" x14ac:dyDescent="0.3">
      <c r="B135" s="11" t="s">
        <v>270</v>
      </c>
      <c r="C135" s="12">
        <v>45581</v>
      </c>
      <c r="D135" s="13" t="s">
        <v>150</v>
      </c>
      <c r="E135" s="13" t="s">
        <v>151</v>
      </c>
      <c r="F135" s="13" t="s">
        <v>61</v>
      </c>
      <c r="G135" s="13" t="s">
        <v>62</v>
      </c>
      <c r="H135" s="13" t="s">
        <v>19</v>
      </c>
      <c r="I135" s="13">
        <v>1</v>
      </c>
      <c r="J135" s="19">
        <v>899.99</v>
      </c>
      <c r="K135" s="13" t="s">
        <v>26</v>
      </c>
      <c r="L135" s="13" t="s">
        <v>63</v>
      </c>
      <c r="M135" s="13" t="s">
        <v>36</v>
      </c>
      <c r="N135" s="12">
        <v>45369</v>
      </c>
      <c r="O135" s="17">
        <v>899.99</v>
      </c>
    </row>
    <row r="136" spans="2:15" ht="15.75" customHeight="1" x14ac:dyDescent="0.3">
      <c r="B136" s="11" t="s">
        <v>271</v>
      </c>
      <c r="C136" s="12">
        <v>45583</v>
      </c>
      <c r="D136" s="13" t="s">
        <v>226</v>
      </c>
      <c r="E136" s="13" t="s">
        <v>227</v>
      </c>
      <c r="F136" s="13" t="s">
        <v>52</v>
      </c>
      <c r="G136" s="13" t="s">
        <v>53</v>
      </c>
      <c r="H136" s="13" t="s">
        <v>19</v>
      </c>
      <c r="I136" s="13">
        <v>2</v>
      </c>
      <c r="J136" s="19">
        <v>149.99</v>
      </c>
      <c r="K136" s="13" t="s">
        <v>26</v>
      </c>
      <c r="L136" s="13" t="s">
        <v>50</v>
      </c>
      <c r="M136" s="13" t="s">
        <v>22</v>
      </c>
      <c r="N136" s="12">
        <v>44916</v>
      </c>
      <c r="O136" s="17">
        <v>299.98</v>
      </c>
    </row>
    <row r="137" spans="2:15" ht="15.75" customHeight="1" x14ac:dyDescent="0.3">
      <c r="B137" s="11" t="s">
        <v>272</v>
      </c>
      <c r="C137" s="12">
        <v>45586</v>
      </c>
      <c r="D137" s="13" t="s">
        <v>226</v>
      </c>
      <c r="E137" s="13" t="s">
        <v>227</v>
      </c>
      <c r="F137" s="13" t="s">
        <v>117</v>
      </c>
      <c r="G137" s="13" t="s">
        <v>118</v>
      </c>
      <c r="H137" s="13" t="s">
        <v>19</v>
      </c>
      <c r="I137" s="13">
        <v>3</v>
      </c>
      <c r="J137" s="19">
        <v>89.99</v>
      </c>
      <c r="K137" s="13" t="s">
        <v>34</v>
      </c>
      <c r="L137" s="13" t="s">
        <v>21</v>
      </c>
      <c r="M137" s="13" t="s">
        <v>22</v>
      </c>
      <c r="N137" s="12">
        <v>44551</v>
      </c>
      <c r="O137" s="17">
        <v>269.97000000000003</v>
      </c>
    </row>
    <row r="138" spans="2:15" ht="15.75" customHeight="1" x14ac:dyDescent="0.3">
      <c r="B138" s="11" t="s">
        <v>273</v>
      </c>
      <c r="C138" s="12">
        <v>45588</v>
      </c>
      <c r="D138" s="13" t="s">
        <v>38</v>
      </c>
      <c r="E138" s="13" t="s">
        <v>39</v>
      </c>
      <c r="F138" s="13" t="s">
        <v>52</v>
      </c>
      <c r="G138" s="13" t="s">
        <v>53</v>
      </c>
      <c r="H138" s="13" t="s">
        <v>19</v>
      </c>
      <c r="I138" s="13">
        <v>2</v>
      </c>
      <c r="J138" s="19">
        <v>149.99</v>
      </c>
      <c r="K138" s="13" t="s">
        <v>34</v>
      </c>
      <c r="L138" s="13" t="s">
        <v>21</v>
      </c>
      <c r="M138" s="13" t="s">
        <v>22</v>
      </c>
      <c r="N138" s="12">
        <v>44473</v>
      </c>
      <c r="O138" s="17">
        <v>299.98</v>
      </c>
    </row>
    <row r="139" spans="2:15" ht="15.75" customHeight="1" x14ac:dyDescent="0.3">
      <c r="B139" s="11" t="s">
        <v>274</v>
      </c>
      <c r="C139" s="12">
        <v>45588</v>
      </c>
      <c r="D139" s="13" t="s">
        <v>154</v>
      </c>
      <c r="E139" s="13" t="s">
        <v>155</v>
      </c>
      <c r="F139" s="13" t="s">
        <v>80</v>
      </c>
      <c r="G139" s="13" t="s">
        <v>81</v>
      </c>
      <c r="H139" s="13" t="s">
        <v>19</v>
      </c>
      <c r="I139" s="13">
        <v>2</v>
      </c>
      <c r="J139" s="19">
        <v>699.99</v>
      </c>
      <c r="K139" s="13" t="s">
        <v>20</v>
      </c>
      <c r="L139" s="13" t="s">
        <v>21</v>
      </c>
      <c r="M139" s="13" t="s">
        <v>22</v>
      </c>
      <c r="N139" s="12">
        <v>44992</v>
      </c>
      <c r="O139" s="17">
        <v>1399.98</v>
      </c>
    </row>
    <row r="140" spans="2:15" ht="15.75" customHeight="1" x14ac:dyDescent="0.3">
      <c r="B140" s="11" t="s">
        <v>275</v>
      </c>
      <c r="C140" s="12">
        <v>45589</v>
      </c>
      <c r="D140" s="13" t="s">
        <v>158</v>
      </c>
      <c r="E140" s="13" t="s">
        <v>159</v>
      </c>
      <c r="F140" s="13" t="s">
        <v>80</v>
      </c>
      <c r="G140" s="13" t="s">
        <v>81</v>
      </c>
      <c r="H140" s="13" t="s">
        <v>19</v>
      </c>
      <c r="I140" s="13">
        <v>5</v>
      </c>
      <c r="J140" s="19">
        <v>699.99</v>
      </c>
      <c r="K140" s="13" t="s">
        <v>20</v>
      </c>
      <c r="L140" s="13" t="s">
        <v>40</v>
      </c>
      <c r="M140" s="13" t="s">
        <v>27</v>
      </c>
      <c r="N140" s="12">
        <v>44635</v>
      </c>
      <c r="O140" s="17">
        <v>3499.95</v>
      </c>
    </row>
    <row r="141" spans="2:15" ht="15.75" customHeight="1" x14ac:dyDescent="0.3">
      <c r="B141" s="11" t="s">
        <v>276</v>
      </c>
      <c r="C141" s="12">
        <v>45592</v>
      </c>
      <c r="D141" s="13" t="s">
        <v>171</v>
      </c>
      <c r="E141" s="13" t="s">
        <v>172</v>
      </c>
      <c r="F141" s="13" t="s">
        <v>117</v>
      </c>
      <c r="G141" s="13" t="s">
        <v>118</v>
      </c>
      <c r="H141" s="13" t="s">
        <v>19</v>
      </c>
      <c r="I141" s="13">
        <v>3</v>
      </c>
      <c r="J141" s="19">
        <v>89.99</v>
      </c>
      <c r="K141" s="13" t="s">
        <v>26</v>
      </c>
      <c r="L141" s="13" t="s">
        <v>40</v>
      </c>
      <c r="M141" s="13" t="s">
        <v>36</v>
      </c>
      <c r="N141" s="12">
        <v>44615</v>
      </c>
      <c r="O141" s="17">
        <v>269.97000000000003</v>
      </c>
    </row>
    <row r="142" spans="2:15" ht="15.75" customHeight="1" x14ac:dyDescent="0.3">
      <c r="B142" s="11" t="s">
        <v>277</v>
      </c>
      <c r="C142" s="12">
        <v>45597</v>
      </c>
      <c r="D142" s="13" t="s">
        <v>15</v>
      </c>
      <c r="E142" s="13" t="s">
        <v>16</v>
      </c>
      <c r="F142" s="13" t="s">
        <v>17</v>
      </c>
      <c r="G142" s="13" t="s">
        <v>18</v>
      </c>
      <c r="H142" s="13" t="s">
        <v>19</v>
      </c>
      <c r="I142" s="13">
        <v>5</v>
      </c>
      <c r="J142" s="19">
        <v>249.99</v>
      </c>
      <c r="K142" s="13" t="s">
        <v>26</v>
      </c>
      <c r="L142" s="13" t="s">
        <v>35</v>
      </c>
      <c r="M142" s="13" t="s">
        <v>36</v>
      </c>
      <c r="N142" s="12">
        <v>44881</v>
      </c>
      <c r="O142" s="17">
        <v>1249.95</v>
      </c>
    </row>
    <row r="143" spans="2:15" ht="15.75" customHeight="1" x14ac:dyDescent="0.3">
      <c r="B143" s="11" t="s">
        <v>278</v>
      </c>
      <c r="C143" s="12">
        <v>45600</v>
      </c>
      <c r="D143" s="13" t="s">
        <v>65</v>
      </c>
      <c r="E143" s="13" t="s">
        <v>66</v>
      </c>
      <c r="F143" s="13" t="s">
        <v>105</v>
      </c>
      <c r="G143" s="13" t="s">
        <v>106</v>
      </c>
      <c r="H143" s="13" t="s">
        <v>46</v>
      </c>
      <c r="I143" s="13">
        <v>3</v>
      </c>
      <c r="J143" s="19">
        <v>299.99</v>
      </c>
      <c r="K143" s="13" t="s">
        <v>26</v>
      </c>
      <c r="L143" s="13" t="s">
        <v>35</v>
      </c>
      <c r="M143" s="13" t="s">
        <v>36</v>
      </c>
      <c r="N143" s="12">
        <v>44502</v>
      </c>
      <c r="O143" s="17">
        <v>899.97</v>
      </c>
    </row>
    <row r="144" spans="2:15" ht="15.75" customHeight="1" x14ac:dyDescent="0.3">
      <c r="B144" s="11" t="s">
        <v>279</v>
      </c>
      <c r="C144" s="12">
        <v>45603</v>
      </c>
      <c r="D144" s="13" t="s">
        <v>99</v>
      </c>
      <c r="E144" s="13" t="s">
        <v>100</v>
      </c>
      <c r="F144" s="13" t="s">
        <v>117</v>
      </c>
      <c r="G144" s="13" t="s">
        <v>118</v>
      </c>
      <c r="H144" s="13" t="s">
        <v>19</v>
      </c>
      <c r="I144" s="13">
        <v>3</v>
      </c>
      <c r="J144" s="19">
        <v>89.99</v>
      </c>
      <c r="K144" s="13" t="s">
        <v>26</v>
      </c>
      <c r="L144" s="13" t="s">
        <v>40</v>
      </c>
      <c r="M144" s="13" t="s">
        <v>27</v>
      </c>
      <c r="N144" s="12">
        <v>44420</v>
      </c>
      <c r="O144" s="17">
        <v>269.97000000000003</v>
      </c>
    </row>
    <row r="145" spans="2:15" ht="15.75" customHeight="1" x14ac:dyDescent="0.3">
      <c r="B145" s="11" t="s">
        <v>280</v>
      </c>
      <c r="C145" s="12">
        <v>45604</v>
      </c>
      <c r="D145" s="13" t="s">
        <v>89</v>
      </c>
      <c r="E145" s="13" t="s">
        <v>90</v>
      </c>
      <c r="F145" s="13" t="s">
        <v>44</v>
      </c>
      <c r="G145" s="13" t="s">
        <v>45</v>
      </c>
      <c r="H145" s="13" t="s">
        <v>46</v>
      </c>
      <c r="I145" s="13">
        <v>2</v>
      </c>
      <c r="J145" s="19">
        <v>149.99</v>
      </c>
      <c r="K145" s="13" t="s">
        <v>26</v>
      </c>
      <c r="L145" s="13" t="s">
        <v>50</v>
      </c>
      <c r="M145" s="13" t="s">
        <v>27</v>
      </c>
      <c r="N145" s="12">
        <v>44848</v>
      </c>
      <c r="O145" s="17">
        <v>299.98</v>
      </c>
    </row>
    <row r="146" spans="2:15" ht="15.75" customHeight="1" x14ac:dyDescent="0.3">
      <c r="B146" s="11" t="s">
        <v>281</v>
      </c>
      <c r="C146" s="12">
        <v>45605</v>
      </c>
      <c r="D146" s="13" t="s">
        <v>185</v>
      </c>
      <c r="E146" s="13" t="s">
        <v>186</v>
      </c>
      <c r="F146" s="13" t="s">
        <v>17</v>
      </c>
      <c r="G146" s="13" t="s">
        <v>18</v>
      </c>
      <c r="H146" s="13" t="s">
        <v>19</v>
      </c>
      <c r="I146" s="13">
        <v>1</v>
      </c>
      <c r="J146" s="19">
        <v>249.99</v>
      </c>
      <c r="K146" s="13" t="s">
        <v>26</v>
      </c>
      <c r="L146" s="13" t="s">
        <v>40</v>
      </c>
      <c r="M146" s="13" t="s">
        <v>27</v>
      </c>
      <c r="N146" s="12">
        <v>44828</v>
      </c>
      <c r="O146" s="17">
        <v>249.99</v>
      </c>
    </row>
    <row r="147" spans="2:15" ht="15.75" customHeight="1" x14ac:dyDescent="0.3">
      <c r="B147" s="11" t="s">
        <v>282</v>
      </c>
      <c r="C147" s="12">
        <v>45607</v>
      </c>
      <c r="D147" s="13" t="s">
        <v>72</v>
      </c>
      <c r="E147" s="13" t="s">
        <v>73</v>
      </c>
      <c r="F147" s="13" t="s">
        <v>52</v>
      </c>
      <c r="G147" s="13" t="s">
        <v>53</v>
      </c>
      <c r="H147" s="13" t="s">
        <v>19</v>
      </c>
      <c r="I147" s="13">
        <v>3</v>
      </c>
      <c r="J147" s="19">
        <v>149.99</v>
      </c>
      <c r="K147" s="13" t="s">
        <v>20</v>
      </c>
      <c r="L147" s="13" t="s">
        <v>40</v>
      </c>
      <c r="M147" s="13" t="s">
        <v>22</v>
      </c>
      <c r="N147" s="12">
        <v>44769</v>
      </c>
      <c r="O147" s="17">
        <v>449.97</v>
      </c>
    </row>
    <row r="148" spans="2:15" ht="15.75" customHeight="1" x14ac:dyDescent="0.3">
      <c r="B148" s="11" t="s">
        <v>283</v>
      </c>
      <c r="C148" s="12">
        <v>45607</v>
      </c>
      <c r="D148" s="13" t="s">
        <v>15</v>
      </c>
      <c r="E148" s="13" t="s">
        <v>16</v>
      </c>
      <c r="F148" s="13" t="s">
        <v>31</v>
      </c>
      <c r="G148" s="13" t="s">
        <v>32</v>
      </c>
      <c r="H148" s="13" t="s">
        <v>33</v>
      </c>
      <c r="I148" s="13">
        <v>5</v>
      </c>
      <c r="J148" s="19">
        <v>59.99</v>
      </c>
      <c r="K148" s="13" t="s">
        <v>34</v>
      </c>
      <c r="L148" s="13" t="s">
        <v>50</v>
      </c>
      <c r="M148" s="13" t="s">
        <v>27</v>
      </c>
      <c r="N148" s="12">
        <v>44694</v>
      </c>
      <c r="O148" s="17">
        <v>299.95</v>
      </c>
    </row>
    <row r="149" spans="2:15" ht="15.75" customHeight="1" x14ac:dyDescent="0.3">
      <c r="B149" s="11" t="s">
        <v>284</v>
      </c>
      <c r="C149" s="12">
        <v>45607</v>
      </c>
      <c r="D149" s="13" t="s">
        <v>99</v>
      </c>
      <c r="E149" s="13" t="s">
        <v>100</v>
      </c>
      <c r="F149" s="13" t="s">
        <v>17</v>
      </c>
      <c r="G149" s="13" t="s">
        <v>18</v>
      </c>
      <c r="H149" s="13" t="s">
        <v>19</v>
      </c>
      <c r="I149" s="13">
        <v>4</v>
      </c>
      <c r="J149" s="19">
        <v>249.99</v>
      </c>
      <c r="K149" s="13" t="s">
        <v>26</v>
      </c>
      <c r="L149" s="13" t="s">
        <v>50</v>
      </c>
      <c r="M149" s="13" t="s">
        <v>36</v>
      </c>
      <c r="N149" s="12">
        <v>44659</v>
      </c>
      <c r="O149" s="17">
        <v>999.96</v>
      </c>
    </row>
    <row r="150" spans="2:15" ht="15.75" customHeight="1" x14ac:dyDescent="0.3">
      <c r="B150" s="11" t="s">
        <v>285</v>
      </c>
      <c r="C150" s="12">
        <v>45608</v>
      </c>
      <c r="D150" s="13" t="s">
        <v>154</v>
      </c>
      <c r="E150" s="13" t="s">
        <v>155</v>
      </c>
      <c r="F150" s="13" t="s">
        <v>44</v>
      </c>
      <c r="G150" s="13" t="s">
        <v>45</v>
      </c>
      <c r="H150" s="13" t="s">
        <v>46</v>
      </c>
      <c r="I150" s="13">
        <v>5</v>
      </c>
      <c r="J150" s="19">
        <v>149.99</v>
      </c>
      <c r="K150" s="13" t="s">
        <v>34</v>
      </c>
      <c r="L150" s="13" t="s">
        <v>21</v>
      </c>
      <c r="M150" s="13" t="s">
        <v>22</v>
      </c>
      <c r="N150" s="12">
        <v>44901</v>
      </c>
      <c r="O150" s="17">
        <v>749.95</v>
      </c>
    </row>
    <row r="151" spans="2:15" ht="15.75" customHeight="1" x14ac:dyDescent="0.3">
      <c r="B151" s="11" t="s">
        <v>286</v>
      </c>
      <c r="C151" s="12">
        <v>45608</v>
      </c>
      <c r="D151" s="13" t="s">
        <v>83</v>
      </c>
      <c r="E151" s="13" t="s">
        <v>84</v>
      </c>
      <c r="F151" s="13" t="s">
        <v>31</v>
      </c>
      <c r="G151" s="13" t="s">
        <v>32</v>
      </c>
      <c r="H151" s="13" t="s">
        <v>33</v>
      </c>
      <c r="I151" s="13">
        <v>3</v>
      </c>
      <c r="J151" s="19">
        <v>59.99</v>
      </c>
      <c r="K151" s="13" t="s">
        <v>57</v>
      </c>
      <c r="L151" s="13" t="s">
        <v>35</v>
      </c>
      <c r="M151" s="13" t="s">
        <v>36</v>
      </c>
      <c r="N151" s="12">
        <v>45260</v>
      </c>
      <c r="O151" s="17">
        <v>179.97</v>
      </c>
    </row>
    <row r="152" spans="2:15" ht="15.75" customHeight="1" x14ac:dyDescent="0.3">
      <c r="B152" s="11" t="s">
        <v>287</v>
      </c>
      <c r="C152" s="12">
        <v>45613</v>
      </c>
      <c r="D152" s="13" t="s">
        <v>234</v>
      </c>
      <c r="E152" s="13" t="s">
        <v>235</v>
      </c>
      <c r="F152" s="13" t="s">
        <v>44</v>
      </c>
      <c r="G152" s="13" t="s">
        <v>45</v>
      </c>
      <c r="H152" s="13" t="s">
        <v>46</v>
      </c>
      <c r="I152" s="13">
        <v>5</v>
      </c>
      <c r="J152" s="19">
        <v>149.99</v>
      </c>
      <c r="K152" s="13" t="s">
        <v>20</v>
      </c>
      <c r="L152" s="13" t="s">
        <v>40</v>
      </c>
      <c r="M152" s="13" t="s">
        <v>22</v>
      </c>
      <c r="N152" s="12">
        <v>44869</v>
      </c>
      <c r="O152" s="17">
        <v>749.95</v>
      </c>
    </row>
    <row r="153" spans="2:15" ht="15.75" customHeight="1" x14ac:dyDescent="0.3">
      <c r="B153" s="11" t="s">
        <v>288</v>
      </c>
      <c r="C153" s="12">
        <v>45613</v>
      </c>
      <c r="D153" s="13" t="s">
        <v>86</v>
      </c>
      <c r="E153" s="13" t="s">
        <v>87</v>
      </c>
      <c r="F153" s="13" t="s">
        <v>80</v>
      </c>
      <c r="G153" s="13" t="s">
        <v>81</v>
      </c>
      <c r="H153" s="13" t="s">
        <v>19</v>
      </c>
      <c r="I153" s="13">
        <v>2</v>
      </c>
      <c r="J153" s="19">
        <v>699.99</v>
      </c>
      <c r="K153" s="13" t="s">
        <v>34</v>
      </c>
      <c r="L153" s="13" t="s">
        <v>50</v>
      </c>
      <c r="M153" s="13" t="s">
        <v>36</v>
      </c>
      <c r="N153" s="12">
        <v>44770</v>
      </c>
      <c r="O153" s="17">
        <v>1399.98</v>
      </c>
    </row>
    <row r="154" spans="2:15" ht="15.75" customHeight="1" x14ac:dyDescent="0.3">
      <c r="B154" s="11" t="s">
        <v>289</v>
      </c>
      <c r="C154" s="12">
        <v>45617</v>
      </c>
      <c r="D154" s="13" t="s">
        <v>123</v>
      </c>
      <c r="E154" s="13" t="s">
        <v>124</v>
      </c>
      <c r="F154" s="13" t="s">
        <v>126</v>
      </c>
      <c r="G154" s="13" t="s">
        <v>127</v>
      </c>
      <c r="H154" s="13" t="s">
        <v>46</v>
      </c>
      <c r="I154" s="13">
        <v>4</v>
      </c>
      <c r="J154" s="19">
        <v>199.99</v>
      </c>
      <c r="K154" s="13" t="s">
        <v>57</v>
      </c>
      <c r="L154" s="13" t="s">
        <v>21</v>
      </c>
      <c r="M154" s="13" t="s">
        <v>27</v>
      </c>
      <c r="N154" s="12">
        <v>44427</v>
      </c>
      <c r="O154" s="17">
        <v>799.96</v>
      </c>
    </row>
    <row r="155" spans="2:15" ht="15.75" customHeight="1" x14ac:dyDescent="0.3">
      <c r="B155" s="11" t="s">
        <v>290</v>
      </c>
      <c r="C155" s="12">
        <v>45619</v>
      </c>
      <c r="D155" s="13" t="s">
        <v>192</v>
      </c>
      <c r="E155" s="13" t="s">
        <v>193</v>
      </c>
      <c r="F155" s="13" t="s">
        <v>31</v>
      </c>
      <c r="G155" s="13" t="s">
        <v>32</v>
      </c>
      <c r="H155" s="13" t="s">
        <v>33</v>
      </c>
      <c r="I155" s="13">
        <v>1</v>
      </c>
      <c r="J155" s="19">
        <v>59.99</v>
      </c>
      <c r="K155" s="13" t="s">
        <v>57</v>
      </c>
      <c r="L155" s="13" t="s">
        <v>50</v>
      </c>
      <c r="M155" s="13" t="s">
        <v>36</v>
      </c>
      <c r="N155" s="12">
        <v>44560</v>
      </c>
      <c r="O155" s="17">
        <v>59.99</v>
      </c>
    </row>
    <row r="156" spans="2:15" ht="15.75" customHeight="1" x14ac:dyDescent="0.3">
      <c r="B156" s="11" t="s">
        <v>291</v>
      </c>
      <c r="C156" s="12">
        <v>45619</v>
      </c>
      <c r="D156" s="13" t="s">
        <v>154</v>
      </c>
      <c r="E156" s="13" t="s">
        <v>155</v>
      </c>
      <c r="F156" s="13" t="s">
        <v>80</v>
      </c>
      <c r="G156" s="13" t="s">
        <v>81</v>
      </c>
      <c r="H156" s="13" t="s">
        <v>19</v>
      </c>
      <c r="I156" s="13">
        <v>3</v>
      </c>
      <c r="J156" s="19">
        <v>699.99</v>
      </c>
      <c r="K156" s="13" t="s">
        <v>34</v>
      </c>
      <c r="L156" s="13" t="s">
        <v>50</v>
      </c>
      <c r="M156" s="13" t="s">
        <v>36</v>
      </c>
      <c r="N156" s="12">
        <v>44583</v>
      </c>
      <c r="O156" s="17">
        <v>2099.9699999999998</v>
      </c>
    </row>
    <row r="157" spans="2:15" ht="15.75" customHeight="1" x14ac:dyDescent="0.3">
      <c r="B157" s="11" t="s">
        <v>292</v>
      </c>
      <c r="C157" s="12">
        <v>45622</v>
      </c>
      <c r="D157" s="13" t="s">
        <v>293</v>
      </c>
      <c r="E157" s="13" t="s">
        <v>294</v>
      </c>
      <c r="F157" s="13" t="s">
        <v>17</v>
      </c>
      <c r="G157" s="13" t="s">
        <v>18</v>
      </c>
      <c r="H157" s="13" t="s">
        <v>19</v>
      </c>
      <c r="I157" s="13">
        <v>5</v>
      </c>
      <c r="J157" s="19">
        <v>249.99</v>
      </c>
      <c r="K157" s="13" t="s">
        <v>26</v>
      </c>
      <c r="L157" s="13" t="s">
        <v>40</v>
      </c>
      <c r="M157" s="13" t="s">
        <v>22</v>
      </c>
      <c r="N157" s="12">
        <v>44873</v>
      </c>
      <c r="O157" s="17">
        <v>1249.95</v>
      </c>
    </row>
    <row r="158" spans="2:15" ht="15.75" customHeight="1" x14ac:dyDescent="0.3">
      <c r="B158" s="11" t="s">
        <v>295</v>
      </c>
      <c r="C158" s="12">
        <v>45623</v>
      </c>
      <c r="D158" s="13" t="s">
        <v>112</v>
      </c>
      <c r="E158" s="13" t="s">
        <v>113</v>
      </c>
      <c r="F158" s="13" t="s">
        <v>44</v>
      </c>
      <c r="G158" s="13" t="s">
        <v>45</v>
      </c>
      <c r="H158" s="13" t="s">
        <v>46</v>
      </c>
      <c r="I158" s="13">
        <v>2</v>
      </c>
      <c r="J158" s="19">
        <v>149.99</v>
      </c>
      <c r="K158" s="13" t="s">
        <v>20</v>
      </c>
      <c r="L158" s="13" t="s">
        <v>35</v>
      </c>
      <c r="M158" s="13" t="s">
        <v>36</v>
      </c>
      <c r="N158" s="12">
        <v>45101</v>
      </c>
      <c r="O158" s="17">
        <v>299.98</v>
      </c>
    </row>
    <row r="159" spans="2:15" ht="15.75" customHeight="1" x14ac:dyDescent="0.3">
      <c r="B159" s="11" t="s">
        <v>296</v>
      </c>
      <c r="C159" s="12">
        <v>45627</v>
      </c>
      <c r="D159" s="13" t="s">
        <v>29</v>
      </c>
      <c r="E159" s="13" t="s">
        <v>30</v>
      </c>
      <c r="F159" s="13" t="s">
        <v>105</v>
      </c>
      <c r="G159" s="13" t="s">
        <v>106</v>
      </c>
      <c r="H159" s="13" t="s">
        <v>46</v>
      </c>
      <c r="I159" s="13">
        <v>3</v>
      </c>
      <c r="J159" s="19">
        <v>299.99</v>
      </c>
      <c r="K159" s="13" t="s">
        <v>20</v>
      </c>
      <c r="L159" s="13" t="s">
        <v>35</v>
      </c>
      <c r="M159" s="13" t="s">
        <v>27</v>
      </c>
      <c r="N159" s="12">
        <v>44659</v>
      </c>
      <c r="O159" s="17">
        <v>899.97</v>
      </c>
    </row>
    <row r="160" spans="2:15" ht="15.75" customHeight="1" x14ac:dyDescent="0.3">
      <c r="B160" s="11" t="s">
        <v>297</v>
      </c>
      <c r="C160" s="12">
        <v>45627</v>
      </c>
      <c r="D160" s="13" t="s">
        <v>55</v>
      </c>
      <c r="E160" s="13" t="s">
        <v>56</v>
      </c>
      <c r="F160" s="13" t="s">
        <v>17</v>
      </c>
      <c r="G160" s="13" t="s">
        <v>18</v>
      </c>
      <c r="H160" s="13" t="s">
        <v>19</v>
      </c>
      <c r="I160" s="13">
        <v>5</v>
      </c>
      <c r="J160" s="19">
        <v>249.99</v>
      </c>
      <c r="K160" s="13" t="s">
        <v>20</v>
      </c>
      <c r="L160" s="13" t="s">
        <v>21</v>
      </c>
      <c r="M160" s="13" t="s">
        <v>27</v>
      </c>
      <c r="N160" s="12">
        <v>44485</v>
      </c>
      <c r="O160" s="17">
        <v>1249.95</v>
      </c>
    </row>
    <row r="161" spans="2:15" ht="15.75" customHeight="1" x14ac:dyDescent="0.3">
      <c r="B161" s="11" t="s">
        <v>298</v>
      </c>
      <c r="C161" s="12">
        <v>45627</v>
      </c>
      <c r="D161" s="13" t="s">
        <v>24</v>
      </c>
      <c r="E161" s="13" t="s">
        <v>25</v>
      </c>
      <c r="F161" s="13" t="s">
        <v>52</v>
      </c>
      <c r="G161" s="13" t="s">
        <v>53</v>
      </c>
      <c r="H161" s="13" t="s">
        <v>19</v>
      </c>
      <c r="I161" s="13">
        <v>2</v>
      </c>
      <c r="J161" s="19">
        <v>149.99</v>
      </c>
      <c r="K161" s="13" t="s">
        <v>20</v>
      </c>
      <c r="L161" s="13" t="s">
        <v>35</v>
      </c>
      <c r="M161" s="13" t="s">
        <v>27</v>
      </c>
      <c r="N161" s="12">
        <v>44475</v>
      </c>
      <c r="O161" s="17">
        <v>299.98</v>
      </c>
    </row>
    <row r="162" spans="2:15" ht="15.75" customHeight="1" x14ac:dyDescent="0.3">
      <c r="B162" s="11" t="s">
        <v>299</v>
      </c>
      <c r="C162" s="12">
        <v>45627</v>
      </c>
      <c r="D162" s="13" t="s">
        <v>86</v>
      </c>
      <c r="E162" s="13" t="s">
        <v>87</v>
      </c>
      <c r="F162" s="13" t="s">
        <v>80</v>
      </c>
      <c r="G162" s="13" t="s">
        <v>81</v>
      </c>
      <c r="H162" s="13" t="s">
        <v>19</v>
      </c>
      <c r="I162" s="13">
        <v>5</v>
      </c>
      <c r="J162" s="19">
        <v>699.99</v>
      </c>
      <c r="K162" s="13" t="s">
        <v>57</v>
      </c>
      <c r="L162" s="13" t="s">
        <v>50</v>
      </c>
      <c r="M162" s="13" t="s">
        <v>36</v>
      </c>
      <c r="N162" s="12">
        <v>44944</v>
      </c>
      <c r="O162" s="17">
        <v>3499.95</v>
      </c>
    </row>
    <row r="163" spans="2:15" ht="15.75" customHeight="1" x14ac:dyDescent="0.3">
      <c r="B163" s="11" t="s">
        <v>300</v>
      </c>
      <c r="C163" s="12">
        <v>45629</v>
      </c>
      <c r="D163" s="13" t="s">
        <v>252</v>
      </c>
      <c r="E163" s="13" t="s">
        <v>253</v>
      </c>
      <c r="F163" s="13" t="s">
        <v>17</v>
      </c>
      <c r="G163" s="13" t="s">
        <v>18</v>
      </c>
      <c r="H163" s="13" t="s">
        <v>19</v>
      </c>
      <c r="I163" s="13">
        <v>4</v>
      </c>
      <c r="J163" s="19">
        <v>249.99</v>
      </c>
      <c r="K163" s="13" t="s">
        <v>34</v>
      </c>
      <c r="L163" s="13" t="s">
        <v>63</v>
      </c>
      <c r="M163" s="13" t="s">
        <v>27</v>
      </c>
      <c r="N163" s="12">
        <v>45098</v>
      </c>
      <c r="O163" s="17">
        <v>999.96</v>
      </c>
    </row>
    <row r="164" spans="2:15" ht="15.75" customHeight="1" x14ac:dyDescent="0.3">
      <c r="B164" s="11" t="s">
        <v>301</v>
      </c>
      <c r="C164" s="12">
        <v>45630</v>
      </c>
      <c r="D164" s="13" t="s">
        <v>48</v>
      </c>
      <c r="E164" s="13" t="s">
        <v>49</v>
      </c>
      <c r="F164" s="13" t="s">
        <v>80</v>
      </c>
      <c r="G164" s="13" t="s">
        <v>81</v>
      </c>
      <c r="H164" s="13" t="s">
        <v>19</v>
      </c>
      <c r="I164" s="13">
        <v>4</v>
      </c>
      <c r="J164" s="19">
        <v>699.99</v>
      </c>
      <c r="K164" s="13" t="s">
        <v>26</v>
      </c>
      <c r="L164" s="13" t="s">
        <v>40</v>
      </c>
      <c r="M164" s="13" t="s">
        <v>27</v>
      </c>
      <c r="N164" s="12">
        <v>44703</v>
      </c>
      <c r="O164" s="17">
        <v>2799.96</v>
      </c>
    </row>
    <row r="165" spans="2:15" ht="15.75" customHeight="1" x14ac:dyDescent="0.3">
      <c r="B165" s="11" t="s">
        <v>302</v>
      </c>
      <c r="C165" s="12">
        <v>45635</v>
      </c>
      <c r="D165" s="13" t="s">
        <v>108</v>
      </c>
      <c r="E165" s="13" t="s">
        <v>109</v>
      </c>
      <c r="F165" s="13" t="s">
        <v>17</v>
      </c>
      <c r="G165" s="13" t="s">
        <v>18</v>
      </c>
      <c r="H165" s="13" t="s">
        <v>19</v>
      </c>
      <c r="I165" s="13">
        <v>2</v>
      </c>
      <c r="J165" s="19">
        <v>249.99</v>
      </c>
      <c r="K165" s="13" t="s">
        <v>26</v>
      </c>
      <c r="L165" s="13" t="s">
        <v>21</v>
      </c>
      <c r="M165" s="13" t="s">
        <v>27</v>
      </c>
      <c r="N165" s="12">
        <v>44396</v>
      </c>
      <c r="O165" s="17">
        <v>499.98</v>
      </c>
    </row>
    <row r="166" spans="2:15" ht="15.75" customHeight="1" x14ac:dyDescent="0.3">
      <c r="B166" s="11" t="s">
        <v>303</v>
      </c>
      <c r="C166" s="12">
        <v>45635</v>
      </c>
      <c r="D166" s="13" t="s">
        <v>304</v>
      </c>
      <c r="E166" s="13" t="s">
        <v>305</v>
      </c>
      <c r="F166" s="13" t="s">
        <v>31</v>
      </c>
      <c r="G166" s="13" t="s">
        <v>32</v>
      </c>
      <c r="H166" s="13" t="s">
        <v>33</v>
      </c>
      <c r="I166" s="13">
        <v>3</v>
      </c>
      <c r="J166" s="19">
        <v>59.99</v>
      </c>
      <c r="K166" s="13" t="s">
        <v>20</v>
      </c>
      <c r="L166" s="13" t="s">
        <v>21</v>
      </c>
      <c r="M166" s="13" t="s">
        <v>27</v>
      </c>
      <c r="N166" s="12">
        <v>45052</v>
      </c>
      <c r="O166" s="17">
        <v>179.97</v>
      </c>
    </row>
    <row r="167" spans="2:15" ht="15.75" customHeight="1" x14ac:dyDescent="0.3">
      <c r="B167" s="11" t="s">
        <v>306</v>
      </c>
      <c r="C167" s="12">
        <v>45635</v>
      </c>
      <c r="D167" s="13" t="s">
        <v>141</v>
      </c>
      <c r="E167" s="13" t="s">
        <v>142</v>
      </c>
      <c r="F167" s="13" t="s">
        <v>114</v>
      </c>
      <c r="G167" s="13" t="s">
        <v>115</v>
      </c>
      <c r="H167" s="13" t="s">
        <v>33</v>
      </c>
      <c r="I167" s="13">
        <v>4</v>
      </c>
      <c r="J167" s="19">
        <v>79.989999999999995</v>
      </c>
      <c r="K167" s="13" t="s">
        <v>57</v>
      </c>
      <c r="L167" s="13" t="s">
        <v>63</v>
      </c>
      <c r="M167" s="13" t="s">
        <v>36</v>
      </c>
      <c r="N167" s="12">
        <v>44921</v>
      </c>
      <c r="O167" s="17">
        <v>319.95999999999998</v>
      </c>
    </row>
    <row r="168" spans="2:15" ht="15.75" customHeight="1" x14ac:dyDescent="0.3">
      <c r="B168" s="11" t="s">
        <v>307</v>
      </c>
      <c r="C168" s="12">
        <v>45636</v>
      </c>
      <c r="D168" s="13" t="s">
        <v>120</v>
      </c>
      <c r="E168" s="13" t="s">
        <v>121</v>
      </c>
      <c r="F168" s="13" t="s">
        <v>114</v>
      </c>
      <c r="G168" s="13" t="s">
        <v>115</v>
      </c>
      <c r="H168" s="13" t="s">
        <v>33</v>
      </c>
      <c r="I168" s="13">
        <v>3</v>
      </c>
      <c r="J168" s="19">
        <v>79.989999999999995</v>
      </c>
      <c r="K168" s="13" t="s">
        <v>57</v>
      </c>
      <c r="L168" s="13" t="s">
        <v>63</v>
      </c>
      <c r="M168" s="13" t="s">
        <v>36</v>
      </c>
      <c r="N168" s="12">
        <v>44779</v>
      </c>
      <c r="O168" s="17">
        <v>239.97</v>
      </c>
    </row>
    <row r="169" spans="2:15" ht="15.75" customHeight="1" x14ac:dyDescent="0.3">
      <c r="B169" s="11" t="s">
        <v>308</v>
      </c>
      <c r="C169" s="12">
        <v>45638</v>
      </c>
      <c r="D169" s="13" t="s">
        <v>72</v>
      </c>
      <c r="E169" s="13" t="s">
        <v>73</v>
      </c>
      <c r="F169" s="13" t="s">
        <v>61</v>
      </c>
      <c r="G169" s="13" t="s">
        <v>62</v>
      </c>
      <c r="H169" s="13" t="s">
        <v>19</v>
      </c>
      <c r="I169" s="13">
        <v>2</v>
      </c>
      <c r="J169" s="19">
        <v>899.99</v>
      </c>
      <c r="K169" s="13" t="s">
        <v>20</v>
      </c>
      <c r="L169" s="13" t="s">
        <v>40</v>
      </c>
      <c r="M169" s="13" t="s">
        <v>22</v>
      </c>
      <c r="N169" s="12">
        <v>44406</v>
      </c>
      <c r="O169" s="17">
        <v>1799.98</v>
      </c>
    </row>
    <row r="170" spans="2:15" ht="15.75" customHeight="1" x14ac:dyDescent="0.3">
      <c r="B170" s="11" t="s">
        <v>309</v>
      </c>
      <c r="C170" s="12">
        <v>45641</v>
      </c>
      <c r="D170" s="13" t="s">
        <v>182</v>
      </c>
      <c r="E170" s="13" t="s">
        <v>183</v>
      </c>
      <c r="F170" s="13" t="s">
        <v>44</v>
      </c>
      <c r="G170" s="13" t="s">
        <v>45</v>
      </c>
      <c r="H170" s="13" t="s">
        <v>46</v>
      </c>
      <c r="I170" s="13">
        <v>1</v>
      </c>
      <c r="J170" s="19">
        <v>149.99</v>
      </c>
      <c r="K170" s="13" t="s">
        <v>57</v>
      </c>
      <c r="L170" s="13" t="s">
        <v>63</v>
      </c>
      <c r="M170" s="13" t="s">
        <v>36</v>
      </c>
      <c r="N170" s="12">
        <v>45200</v>
      </c>
      <c r="O170" s="17">
        <v>149.99</v>
      </c>
    </row>
    <row r="171" spans="2:15" ht="15.75" customHeight="1" x14ac:dyDescent="0.3">
      <c r="B171" s="11" t="s">
        <v>310</v>
      </c>
      <c r="C171" s="12">
        <v>45641</v>
      </c>
      <c r="D171" s="13" t="s">
        <v>138</v>
      </c>
      <c r="E171" s="13" t="s">
        <v>139</v>
      </c>
      <c r="F171" s="13" t="s">
        <v>105</v>
      </c>
      <c r="G171" s="13" t="s">
        <v>106</v>
      </c>
      <c r="H171" s="13" t="s">
        <v>46</v>
      </c>
      <c r="I171" s="13">
        <v>2</v>
      </c>
      <c r="J171" s="19">
        <v>299.99</v>
      </c>
      <c r="K171" s="13" t="s">
        <v>20</v>
      </c>
      <c r="L171" s="13" t="s">
        <v>63</v>
      </c>
      <c r="M171" s="13" t="s">
        <v>27</v>
      </c>
      <c r="N171" s="12">
        <v>44724</v>
      </c>
      <c r="O171" s="17">
        <v>599.98</v>
      </c>
    </row>
    <row r="172" spans="2:15" ht="15.75" customHeight="1" x14ac:dyDescent="0.3">
      <c r="B172" s="11" t="s">
        <v>311</v>
      </c>
      <c r="C172" s="12">
        <v>45644</v>
      </c>
      <c r="D172" s="13" t="s">
        <v>132</v>
      </c>
      <c r="E172" s="13" t="s">
        <v>133</v>
      </c>
      <c r="F172" s="13" t="s">
        <v>31</v>
      </c>
      <c r="G172" s="13" t="s">
        <v>32</v>
      </c>
      <c r="H172" s="13" t="s">
        <v>33</v>
      </c>
      <c r="I172" s="13">
        <v>2</v>
      </c>
      <c r="J172" s="19">
        <v>59.99</v>
      </c>
      <c r="K172" s="13" t="s">
        <v>20</v>
      </c>
      <c r="L172" s="13" t="s">
        <v>50</v>
      </c>
      <c r="M172" s="13" t="s">
        <v>22</v>
      </c>
      <c r="N172" s="12">
        <v>45191</v>
      </c>
      <c r="O172" s="17">
        <v>119.98</v>
      </c>
    </row>
    <row r="173" spans="2:15" ht="15.75" customHeight="1" x14ac:dyDescent="0.3">
      <c r="B173" s="11" t="s">
        <v>312</v>
      </c>
      <c r="C173" s="12">
        <v>45645</v>
      </c>
      <c r="D173" s="13" t="s">
        <v>182</v>
      </c>
      <c r="E173" s="13" t="s">
        <v>183</v>
      </c>
      <c r="F173" s="13" t="s">
        <v>117</v>
      </c>
      <c r="G173" s="13" t="s">
        <v>118</v>
      </c>
      <c r="H173" s="13" t="s">
        <v>19</v>
      </c>
      <c r="I173" s="13">
        <v>1</v>
      </c>
      <c r="J173" s="19">
        <v>89.99</v>
      </c>
      <c r="K173" s="13" t="s">
        <v>57</v>
      </c>
      <c r="L173" s="13" t="s">
        <v>21</v>
      </c>
      <c r="M173" s="13" t="s">
        <v>36</v>
      </c>
      <c r="N173" s="12">
        <v>44760</v>
      </c>
      <c r="O173" s="17">
        <v>89.99</v>
      </c>
    </row>
    <row r="174" spans="2:15" ht="15.75" customHeight="1" x14ac:dyDescent="0.3">
      <c r="B174" s="11" t="s">
        <v>313</v>
      </c>
      <c r="C174" s="12">
        <v>45645</v>
      </c>
      <c r="D174" s="13" t="s">
        <v>147</v>
      </c>
      <c r="E174" s="13" t="s">
        <v>148</v>
      </c>
      <c r="F174" s="13" t="s">
        <v>61</v>
      </c>
      <c r="G174" s="13" t="s">
        <v>62</v>
      </c>
      <c r="H174" s="13" t="s">
        <v>19</v>
      </c>
      <c r="I174" s="13">
        <v>5</v>
      </c>
      <c r="J174" s="19">
        <v>899.99</v>
      </c>
      <c r="K174" s="13" t="s">
        <v>57</v>
      </c>
      <c r="L174" s="13" t="s">
        <v>63</v>
      </c>
      <c r="M174" s="13" t="s">
        <v>36</v>
      </c>
      <c r="N174" s="12">
        <v>44625</v>
      </c>
      <c r="O174" s="17">
        <v>4499.95</v>
      </c>
    </row>
    <row r="175" spans="2:15" ht="15.75" customHeight="1" x14ac:dyDescent="0.3">
      <c r="B175" s="11" t="s">
        <v>314</v>
      </c>
      <c r="C175" s="12">
        <v>45646</v>
      </c>
      <c r="D175" s="13" t="s">
        <v>42</v>
      </c>
      <c r="E175" s="13" t="s">
        <v>43</v>
      </c>
      <c r="F175" s="13" t="s">
        <v>44</v>
      </c>
      <c r="G175" s="13" t="s">
        <v>45</v>
      </c>
      <c r="H175" s="13" t="s">
        <v>46</v>
      </c>
      <c r="I175" s="13">
        <v>2</v>
      </c>
      <c r="J175" s="19">
        <v>149.99</v>
      </c>
      <c r="K175" s="13" t="s">
        <v>20</v>
      </c>
      <c r="L175" s="13" t="s">
        <v>35</v>
      </c>
      <c r="M175" s="13" t="s">
        <v>22</v>
      </c>
      <c r="N175" s="12">
        <v>45239</v>
      </c>
      <c r="O175" s="17">
        <v>299.98</v>
      </c>
    </row>
    <row r="176" spans="2:15" ht="15.75" customHeight="1" x14ac:dyDescent="0.3">
      <c r="B176" s="11" t="s">
        <v>315</v>
      </c>
      <c r="C176" s="12">
        <v>45648</v>
      </c>
      <c r="D176" s="13" t="s">
        <v>112</v>
      </c>
      <c r="E176" s="13" t="s">
        <v>113</v>
      </c>
      <c r="F176" s="13" t="s">
        <v>52</v>
      </c>
      <c r="G176" s="13" t="s">
        <v>53</v>
      </c>
      <c r="H176" s="13" t="s">
        <v>19</v>
      </c>
      <c r="I176" s="13">
        <v>2</v>
      </c>
      <c r="J176" s="19">
        <v>149.99</v>
      </c>
      <c r="K176" s="13" t="s">
        <v>57</v>
      </c>
      <c r="L176" s="13" t="s">
        <v>50</v>
      </c>
      <c r="M176" s="13" t="s">
        <v>27</v>
      </c>
      <c r="N176" s="12">
        <v>45280</v>
      </c>
      <c r="O176" s="17">
        <v>299.98</v>
      </c>
    </row>
    <row r="177" spans="2:15" ht="15.75" customHeight="1" x14ac:dyDescent="0.3">
      <c r="B177" s="11" t="s">
        <v>316</v>
      </c>
      <c r="C177" s="12">
        <v>45648</v>
      </c>
      <c r="D177" s="13" t="s">
        <v>182</v>
      </c>
      <c r="E177" s="13" t="s">
        <v>183</v>
      </c>
      <c r="F177" s="13" t="s">
        <v>44</v>
      </c>
      <c r="G177" s="13" t="s">
        <v>45</v>
      </c>
      <c r="H177" s="13" t="s">
        <v>46</v>
      </c>
      <c r="I177" s="13">
        <v>3</v>
      </c>
      <c r="J177" s="19">
        <v>149.99</v>
      </c>
      <c r="K177" s="13" t="s">
        <v>57</v>
      </c>
      <c r="L177" s="13" t="s">
        <v>40</v>
      </c>
      <c r="M177" s="13" t="s">
        <v>36</v>
      </c>
      <c r="N177" s="12">
        <v>44522</v>
      </c>
      <c r="O177" s="17">
        <v>449.97</v>
      </c>
    </row>
    <row r="178" spans="2:15" ht="15.75" customHeight="1" x14ac:dyDescent="0.3">
      <c r="B178" s="11" t="s">
        <v>317</v>
      </c>
      <c r="C178" s="12">
        <v>45649</v>
      </c>
      <c r="D178" s="13" t="s">
        <v>29</v>
      </c>
      <c r="E178" s="13" t="s">
        <v>30</v>
      </c>
      <c r="F178" s="13" t="s">
        <v>105</v>
      </c>
      <c r="G178" s="13" t="s">
        <v>106</v>
      </c>
      <c r="H178" s="13" t="s">
        <v>46</v>
      </c>
      <c r="I178" s="13">
        <v>2</v>
      </c>
      <c r="J178" s="19">
        <v>299.99</v>
      </c>
      <c r="K178" s="13" t="s">
        <v>34</v>
      </c>
      <c r="L178" s="13" t="s">
        <v>35</v>
      </c>
      <c r="M178" s="13" t="s">
        <v>22</v>
      </c>
      <c r="N178" s="12">
        <v>44721</v>
      </c>
      <c r="O178" s="17">
        <v>599.98</v>
      </c>
    </row>
    <row r="179" spans="2:15" ht="15.75" customHeight="1" x14ac:dyDescent="0.3">
      <c r="B179" s="11" t="s">
        <v>318</v>
      </c>
      <c r="C179" s="12">
        <v>45654</v>
      </c>
      <c r="D179" s="13" t="s">
        <v>42</v>
      </c>
      <c r="E179" s="13" t="s">
        <v>43</v>
      </c>
      <c r="F179" s="13" t="s">
        <v>105</v>
      </c>
      <c r="G179" s="13" t="s">
        <v>106</v>
      </c>
      <c r="H179" s="13" t="s">
        <v>46</v>
      </c>
      <c r="I179" s="13">
        <v>2</v>
      </c>
      <c r="J179" s="19">
        <v>299.99</v>
      </c>
      <c r="K179" s="13" t="s">
        <v>20</v>
      </c>
      <c r="L179" s="13" t="s">
        <v>50</v>
      </c>
      <c r="M179" s="13" t="s">
        <v>22</v>
      </c>
      <c r="N179" s="12">
        <v>44771</v>
      </c>
      <c r="O179" s="17">
        <v>599.98</v>
      </c>
    </row>
    <row r="180" spans="2:15" ht="15.75" customHeight="1" x14ac:dyDescent="0.3">
      <c r="B180" s="11" t="s">
        <v>319</v>
      </c>
      <c r="C180" s="12">
        <v>45654</v>
      </c>
      <c r="D180" s="13" t="s">
        <v>120</v>
      </c>
      <c r="E180" s="13" t="s">
        <v>121</v>
      </c>
      <c r="F180" s="13" t="s">
        <v>126</v>
      </c>
      <c r="G180" s="13" t="s">
        <v>127</v>
      </c>
      <c r="H180" s="13" t="s">
        <v>46</v>
      </c>
      <c r="I180" s="13">
        <v>4</v>
      </c>
      <c r="J180" s="19">
        <v>199.99</v>
      </c>
      <c r="K180" s="13" t="s">
        <v>26</v>
      </c>
      <c r="L180" s="13" t="s">
        <v>21</v>
      </c>
      <c r="M180" s="13" t="s">
        <v>22</v>
      </c>
      <c r="N180" s="12">
        <v>44523</v>
      </c>
      <c r="O180" s="17">
        <v>799.96</v>
      </c>
    </row>
    <row r="181" spans="2:15" ht="15.75" customHeight="1" x14ac:dyDescent="0.3">
      <c r="B181" s="11" t="s">
        <v>320</v>
      </c>
      <c r="C181" s="12">
        <v>45655</v>
      </c>
      <c r="D181" s="13" t="s">
        <v>59</v>
      </c>
      <c r="E181" s="13" t="s">
        <v>60</v>
      </c>
      <c r="F181" s="13" t="s">
        <v>117</v>
      </c>
      <c r="G181" s="13" t="s">
        <v>118</v>
      </c>
      <c r="H181" s="13" t="s">
        <v>19</v>
      </c>
      <c r="I181" s="13">
        <v>1</v>
      </c>
      <c r="J181" s="19">
        <v>89.99</v>
      </c>
      <c r="K181" s="13" t="s">
        <v>26</v>
      </c>
      <c r="L181" s="13" t="s">
        <v>35</v>
      </c>
      <c r="M181" s="13" t="s">
        <v>27</v>
      </c>
      <c r="N181" s="12">
        <v>44591</v>
      </c>
      <c r="O181" s="17">
        <v>89.99</v>
      </c>
    </row>
    <row r="182" spans="2:15" ht="15.75" customHeight="1" x14ac:dyDescent="0.3">
      <c r="B182" s="11" t="s">
        <v>321</v>
      </c>
      <c r="C182" s="12">
        <v>45655</v>
      </c>
      <c r="D182" s="13" t="s">
        <v>108</v>
      </c>
      <c r="E182" s="13" t="s">
        <v>109</v>
      </c>
      <c r="F182" s="13" t="s">
        <v>44</v>
      </c>
      <c r="G182" s="13" t="s">
        <v>45</v>
      </c>
      <c r="H182" s="13" t="s">
        <v>46</v>
      </c>
      <c r="I182" s="13">
        <v>5</v>
      </c>
      <c r="J182" s="19">
        <v>149.99</v>
      </c>
      <c r="K182" s="13" t="s">
        <v>20</v>
      </c>
      <c r="L182" s="13" t="s">
        <v>21</v>
      </c>
      <c r="M182" s="13" t="s">
        <v>27</v>
      </c>
      <c r="N182" s="12">
        <v>45347</v>
      </c>
      <c r="O182" s="17">
        <v>749.95</v>
      </c>
    </row>
    <row r="183" spans="2:15" ht="15.75" customHeight="1" x14ac:dyDescent="0.3">
      <c r="B183" s="11" t="s">
        <v>322</v>
      </c>
      <c r="C183" s="12">
        <v>45657</v>
      </c>
      <c r="D183" s="13" t="s">
        <v>86</v>
      </c>
      <c r="E183" s="13" t="s">
        <v>87</v>
      </c>
      <c r="F183" s="13" t="s">
        <v>61</v>
      </c>
      <c r="G183" s="13" t="s">
        <v>62</v>
      </c>
      <c r="H183" s="13" t="s">
        <v>19</v>
      </c>
      <c r="I183" s="13">
        <v>1</v>
      </c>
      <c r="J183" s="19">
        <v>899.99</v>
      </c>
      <c r="K183" s="13" t="s">
        <v>34</v>
      </c>
      <c r="L183" s="13" t="s">
        <v>40</v>
      </c>
      <c r="M183" s="13" t="s">
        <v>27</v>
      </c>
      <c r="N183" s="12">
        <v>45050</v>
      </c>
      <c r="O183" s="17">
        <v>899.99</v>
      </c>
    </row>
    <row r="184" spans="2:15" ht="15.75" customHeight="1" x14ac:dyDescent="0.3">
      <c r="B184" s="11" t="s">
        <v>323</v>
      </c>
      <c r="C184" s="12">
        <v>45660</v>
      </c>
      <c r="D184" s="13" t="s">
        <v>147</v>
      </c>
      <c r="E184" s="13" t="s">
        <v>148</v>
      </c>
      <c r="F184" s="13" t="s">
        <v>117</v>
      </c>
      <c r="G184" s="13" t="s">
        <v>118</v>
      </c>
      <c r="H184" s="13" t="s">
        <v>19</v>
      </c>
      <c r="I184" s="13">
        <v>2</v>
      </c>
      <c r="J184" s="19">
        <v>89.99</v>
      </c>
      <c r="K184" s="13" t="s">
        <v>26</v>
      </c>
      <c r="L184" s="13" t="s">
        <v>35</v>
      </c>
      <c r="M184" s="13" t="s">
        <v>27</v>
      </c>
      <c r="N184" s="12">
        <v>44564</v>
      </c>
      <c r="O184" s="17">
        <v>179.98</v>
      </c>
    </row>
    <row r="185" spans="2:15" ht="15.75" customHeight="1" x14ac:dyDescent="0.3">
      <c r="B185" s="11" t="s">
        <v>324</v>
      </c>
      <c r="C185" s="12">
        <v>45661</v>
      </c>
      <c r="D185" s="13" t="s">
        <v>325</v>
      </c>
      <c r="E185" s="13" t="s">
        <v>326</v>
      </c>
      <c r="F185" s="13" t="s">
        <v>61</v>
      </c>
      <c r="G185" s="13" t="s">
        <v>62</v>
      </c>
      <c r="H185" s="13" t="s">
        <v>19</v>
      </c>
      <c r="I185" s="13">
        <v>1</v>
      </c>
      <c r="J185" s="19">
        <v>899.99</v>
      </c>
      <c r="K185" s="13" t="s">
        <v>34</v>
      </c>
      <c r="L185" s="13" t="s">
        <v>40</v>
      </c>
      <c r="M185" s="13" t="s">
        <v>36</v>
      </c>
      <c r="N185" s="12">
        <v>44752</v>
      </c>
      <c r="O185" s="17">
        <v>899.99</v>
      </c>
    </row>
    <row r="186" spans="2:15" ht="15.75" customHeight="1" x14ac:dyDescent="0.3">
      <c r="B186" s="11" t="s">
        <v>327</v>
      </c>
      <c r="C186" s="12">
        <v>45663</v>
      </c>
      <c r="D186" s="13" t="s">
        <v>129</v>
      </c>
      <c r="E186" s="13" t="s">
        <v>130</v>
      </c>
      <c r="F186" s="13" t="s">
        <v>52</v>
      </c>
      <c r="G186" s="13" t="s">
        <v>53</v>
      </c>
      <c r="H186" s="13" t="s">
        <v>19</v>
      </c>
      <c r="I186" s="13">
        <v>5</v>
      </c>
      <c r="J186" s="19">
        <v>149.99</v>
      </c>
      <c r="K186" s="13" t="s">
        <v>34</v>
      </c>
      <c r="L186" s="13" t="s">
        <v>63</v>
      </c>
      <c r="M186" s="13" t="s">
        <v>27</v>
      </c>
      <c r="N186" s="12">
        <v>44824</v>
      </c>
      <c r="O186" s="17">
        <v>749.95</v>
      </c>
    </row>
    <row r="187" spans="2:15" ht="15.75" customHeight="1" x14ac:dyDescent="0.3">
      <c r="B187" s="11" t="s">
        <v>328</v>
      </c>
      <c r="C187" s="12">
        <v>45663</v>
      </c>
      <c r="D187" s="13" t="s">
        <v>42</v>
      </c>
      <c r="E187" s="13" t="s">
        <v>43</v>
      </c>
      <c r="F187" s="13" t="s">
        <v>105</v>
      </c>
      <c r="G187" s="13" t="s">
        <v>106</v>
      </c>
      <c r="H187" s="13" t="s">
        <v>46</v>
      </c>
      <c r="I187" s="13">
        <v>3</v>
      </c>
      <c r="J187" s="19">
        <v>299.99</v>
      </c>
      <c r="K187" s="13" t="s">
        <v>20</v>
      </c>
      <c r="L187" s="13" t="s">
        <v>35</v>
      </c>
      <c r="M187" s="13" t="s">
        <v>36</v>
      </c>
      <c r="N187" s="12">
        <v>44422</v>
      </c>
      <c r="O187" s="17">
        <v>899.97</v>
      </c>
    </row>
    <row r="188" spans="2:15" ht="15.75" customHeight="1" x14ac:dyDescent="0.3">
      <c r="B188" s="11" t="s">
        <v>329</v>
      </c>
      <c r="C188" s="12">
        <v>45666</v>
      </c>
      <c r="D188" s="13" t="s">
        <v>65</v>
      </c>
      <c r="E188" s="13" t="s">
        <v>66</v>
      </c>
      <c r="F188" s="13" t="s">
        <v>80</v>
      </c>
      <c r="G188" s="13" t="s">
        <v>81</v>
      </c>
      <c r="H188" s="13" t="s">
        <v>19</v>
      </c>
      <c r="I188" s="13">
        <v>3</v>
      </c>
      <c r="J188" s="19">
        <v>699.99</v>
      </c>
      <c r="K188" s="13" t="s">
        <v>26</v>
      </c>
      <c r="L188" s="13" t="s">
        <v>21</v>
      </c>
      <c r="M188" s="13" t="s">
        <v>27</v>
      </c>
      <c r="N188" s="12">
        <v>45105</v>
      </c>
      <c r="O188" s="17">
        <v>2099.9699999999998</v>
      </c>
    </row>
    <row r="189" spans="2:15" ht="15.75" customHeight="1" x14ac:dyDescent="0.3">
      <c r="B189" s="11" t="s">
        <v>330</v>
      </c>
      <c r="C189" s="12">
        <v>45667</v>
      </c>
      <c r="D189" s="13" t="s">
        <v>108</v>
      </c>
      <c r="E189" s="13" t="s">
        <v>109</v>
      </c>
      <c r="F189" s="13" t="s">
        <v>126</v>
      </c>
      <c r="G189" s="13" t="s">
        <v>127</v>
      </c>
      <c r="H189" s="13" t="s">
        <v>46</v>
      </c>
      <c r="I189" s="13">
        <v>5</v>
      </c>
      <c r="J189" s="19">
        <v>199.99</v>
      </c>
      <c r="K189" s="13" t="s">
        <v>34</v>
      </c>
      <c r="L189" s="13" t="s">
        <v>21</v>
      </c>
      <c r="M189" s="13" t="s">
        <v>36</v>
      </c>
      <c r="N189" s="12">
        <v>44633</v>
      </c>
      <c r="O189" s="17">
        <v>999.95</v>
      </c>
    </row>
    <row r="190" spans="2:15" ht="15.75" customHeight="1" x14ac:dyDescent="0.3">
      <c r="B190" s="11" t="s">
        <v>331</v>
      </c>
      <c r="C190" s="12">
        <v>45667</v>
      </c>
      <c r="D190" s="13" t="s">
        <v>93</v>
      </c>
      <c r="E190" s="13" t="s">
        <v>94</v>
      </c>
      <c r="F190" s="13" t="s">
        <v>17</v>
      </c>
      <c r="G190" s="13" t="s">
        <v>18</v>
      </c>
      <c r="H190" s="13" t="s">
        <v>19</v>
      </c>
      <c r="I190" s="13">
        <v>5</v>
      </c>
      <c r="J190" s="19">
        <v>249.99</v>
      </c>
      <c r="K190" s="13" t="s">
        <v>26</v>
      </c>
      <c r="L190" s="13" t="s">
        <v>35</v>
      </c>
      <c r="M190" s="13" t="s">
        <v>22</v>
      </c>
      <c r="N190" s="12">
        <v>45330</v>
      </c>
      <c r="O190" s="17">
        <v>1249.95</v>
      </c>
    </row>
    <row r="191" spans="2:15" ht="15.75" customHeight="1" x14ac:dyDescent="0.3">
      <c r="B191" s="11" t="s">
        <v>332</v>
      </c>
      <c r="C191" s="12">
        <v>45668</v>
      </c>
      <c r="D191" s="13" t="s">
        <v>138</v>
      </c>
      <c r="E191" s="13" t="s">
        <v>139</v>
      </c>
      <c r="F191" s="13" t="s">
        <v>52</v>
      </c>
      <c r="G191" s="13" t="s">
        <v>53</v>
      </c>
      <c r="H191" s="13" t="s">
        <v>19</v>
      </c>
      <c r="I191" s="13">
        <v>4</v>
      </c>
      <c r="J191" s="19">
        <v>149.99</v>
      </c>
      <c r="K191" s="13" t="s">
        <v>57</v>
      </c>
      <c r="L191" s="13" t="s">
        <v>63</v>
      </c>
      <c r="M191" s="13" t="s">
        <v>36</v>
      </c>
      <c r="N191" s="12">
        <v>44536</v>
      </c>
      <c r="O191" s="17">
        <v>599.96</v>
      </c>
    </row>
    <row r="192" spans="2:15" ht="15.75" customHeight="1" x14ac:dyDescent="0.3">
      <c r="B192" s="11" t="s">
        <v>333</v>
      </c>
      <c r="C192" s="12">
        <v>45668</v>
      </c>
      <c r="D192" s="13" t="s">
        <v>78</v>
      </c>
      <c r="E192" s="13" t="s">
        <v>79</v>
      </c>
      <c r="F192" s="13" t="s">
        <v>80</v>
      </c>
      <c r="G192" s="13" t="s">
        <v>81</v>
      </c>
      <c r="H192" s="13" t="s">
        <v>19</v>
      </c>
      <c r="I192" s="13">
        <v>3</v>
      </c>
      <c r="J192" s="19">
        <v>699.99</v>
      </c>
      <c r="K192" s="13" t="s">
        <v>20</v>
      </c>
      <c r="L192" s="13" t="s">
        <v>40</v>
      </c>
      <c r="M192" s="13" t="s">
        <v>27</v>
      </c>
      <c r="N192" s="12">
        <v>44602</v>
      </c>
      <c r="O192" s="17">
        <v>2099.9699999999998</v>
      </c>
    </row>
    <row r="193" spans="2:15" ht="15.75" customHeight="1" x14ac:dyDescent="0.3">
      <c r="B193" s="11" t="s">
        <v>334</v>
      </c>
      <c r="C193" s="12">
        <v>45670</v>
      </c>
      <c r="D193" s="13" t="s">
        <v>293</v>
      </c>
      <c r="E193" s="13" t="s">
        <v>294</v>
      </c>
      <c r="F193" s="13" t="s">
        <v>114</v>
      </c>
      <c r="G193" s="13" t="s">
        <v>115</v>
      </c>
      <c r="H193" s="13" t="s">
        <v>33</v>
      </c>
      <c r="I193" s="13">
        <v>1</v>
      </c>
      <c r="J193" s="19">
        <v>79.989999999999995</v>
      </c>
      <c r="K193" s="13" t="s">
        <v>26</v>
      </c>
      <c r="L193" s="13" t="s">
        <v>35</v>
      </c>
      <c r="M193" s="13" t="s">
        <v>22</v>
      </c>
      <c r="N193" s="12">
        <v>45322</v>
      </c>
      <c r="O193" s="17">
        <v>79.989999999999995</v>
      </c>
    </row>
    <row r="194" spans="2:15" ht="15.75" customHeight="1" x14ac:dyDescent="0.3">
      <c r="B194" s="11" t="s">
        <v>335</v>
      </c>
      <c r="C194" s="12">
        <v>45670</v>
      </c>
      <c r="D194" s="13" t="s">
        <v>86</v>
      </c>
      <c r="E194" s="13" t="s">
        <v>87</v>
      </c>
      <c r="F194" s="13" t="s">
        <v>105</v>
      </c>
      <c r="G194" s="13" t="s">
        <v>106</v>
      </c>
      <c r="H194" s="13" t="s">
        <v>46</v>
      </c>
      <c r="I194" s="13">
        <v>1</v>
      </c>
      <c r="J194" s="19">
        <v>299.99</v>
      </c>
      <c r="K194" s="13" t="s">
        <v>26</v>
      </c>
      <c r="L194" s="13" t="s">
        <v>40</v>
      </c>
      <c r="M194" s="13" t="s">
        <v>22</v>
      </c>
      <c r="N194" s="12">
        <v>44436</v>
      </c>
      <c r="O194" s="17">
        <v>299.99</v>
      </c>
    </row>
    <row r="195" spans="2:15" ht="15.75" customHeight="1" x14ac:dyDescent="0.3">
      <c r="B195" s="11" t="s">
        <v>336</v>
      </c>
      <c r="C195" s="12">
        <v>45671</v>
      </c>
      <c r="D195" s="13" t="s">
        <v>158</v>
      </c>
      <c r="E195" s="13" t="s">
        <v>159</v>
      </c>
      <c r="F195" s="13" t="s">
        <v>17</v>
      </c>
      <c r="G195" s="13" t="s">
        <v>18</v>
      </c>
      <c r="H195" s="13" t="s">
        <v>19</v>
      </c>
      <c r="I195" s="13">
        <v>4</v>
      </c>
      <c r="J195" s="19">
        <v>249.99</v>
      </c>
      <c r="K195" s="13" t="s">
        <v>26</v>
      </c>
      <c r="L195" s="13" t="s">
        <v>40</v>
      </c>
      <c r="M195" s="13" t="s">
        <v>27</v>
      </c>
      <c r="N195" s="12">
        <v>44460</v>
      </c>
      <c r="O195" s="17">
        <v>999.96</v>
      </c>
    </row>
    <row r="196" spans="2:15" ht="15.75" customHeight="1" x14ac:dyDescent="0.3">
      <c r="B196" s="11" t="s">
        <v>337</v>
      </c>
      <c r="C196" s="12">
        <v>45671</v>
      </c>
      <c r="D196" s="13" t="s">
        <v>120</v>
      </c>
      <c r="E196" s="13" t="s">
        <v>121</v>
      </c>
      <c r="F196" s="13" t="s">
        <v>52</v>
      </c>
      <c r="G196" s="13" t="s">
        <v>53</v>
      </c>
      <c r="H196" s="13" t="s">
        <v>19</v>
      </c>
      <c r="I196" s="13">
        <v>2</v>
      </c>
      <c r="J196" s="19">
        <v>149.99</v>
      </c>
      <c r="K196" s="13" t="s">
        <v>20</v>
      </c>
      <c r="L196" s="13" t="s">
        <v>40</v>
      </c>
      <c r="M196" s="13" t="s">
        <v>36</v>
      </c>
      <c r="N196" s="12">
        <v>44913</v>
      </c>
      <c r="O196" s="17">
        <v>299.98</v>
      </c>
    </row>
    <row r="197" spans="2:15" ht="15.75" customHeight="1" x14ac:dyDescent="0.3">
      <c r="B197" s="11" t="s">
        <v>338</v>
      </c>
      <c r="C197" s="12">
        <v>45671</v>
      </c>
      <c r="D197" s="13" t="s">
        <v>234</v>
      </c>
      <c r="E197" s="13" t="s">
        <v>235</v>
      </c>
      <c r="F197" s="13" t="s">
        <v>105</v>
      </c>
      <c r="G197" s="13" t="s">
        <v>106</v>
      </c>
      <c r="H197" s="13" t="s">
        <v>46</v>
      </c>
      <c r="I197" s="13">
        <v>3</v>
      </c>
      <c r="J197" s="19">
        <v>299.99</v>
      </c>
      <c r="K197" s="13" t="s">
        <v>26</v>
      </c>
      <c r="L197" s="13" t="s">
        <v>35</v>
      </c>
      <c r="M197" s="13" t="s">
        <v>22</v>
      </c>
      <c r="N197" s="12">
        <v>45204</v>
      </c>
      <c r="O197" s="17">
        <v>899.97</v>
      </c>
    </row>
    <row r="198" spans="2:15" ht="15.75" customHeight="1" x14ac:dyDescent="0.3">
      <c r="B198" s="11" t="s">
        <v>339</v>
      </c>
      <c r="C198" s="12">
        <v>45673</v>
      </c>
      <c r="D198" s="13" t="s">
        <v>226</v>
      </c>
      <c r="E198" s="13" t="s">
        <v>227</v>
      </c>
      <c r="F198" s="13" t="s">
        <v>126</v>
      </c>
      <c r="G198" s="13" t="s">
        <v>127</v>
      </c>
      <c r="H198" s="13" t="s">
        <v>46</v>
      </c>
      <c r="I198" s="13">
        <v>4</v>
      </c>
      <c r="J198" s="19">
        <v>199.99</v>
      </c>
      <c r="K198" s="13" t="s">
        <v>57</v>
      </c>
      <c r="L198" s="13" t="s">
        <v>35</v>
      </c>
      <c r="M198" s="13" t="s">
        <v>36</v>
      </c>
      <c r="N198" s="12">
        <v>44544</v>
      </c>
      <c r="O198" s="17">
        <v>799.96</v>
      </c>
    </row>
    <row r="199" spans="2:15" ht="15.75" customHeight="1" x14ac:dyDescent="0.3">
      <c r="B199" s="11" t="s">
        <v>340</v>
      </c>
      <c r="C199" s="12">
        <v>45673</v>
      </c>
      <c r="D199" s="13" t="s">
        <v>211</v>
      </c>
      <c r="E199" s="13" t="s">
        <v>212</v>
      </c>
      <c r="F199" s="13" t="s">
        <v>105</v>
      </c>
      <c r="G199" s="13" t="s">
        <v>106</v>
      </c>
      <c r="H199" s="13" t="s">
        <v>46</v>
      </c>
      <c r="I199" s="13">
        <v>5</v>
      </c>
      <c r="J199" s="19">
        <v>299.99</v>
      </c>
      <c r="K199" s="13" t="s">
        <v>57</v>
      </c>
      <c r="L199" s="13" t="s">
        <v>21</v>
      </c>
      <c r="M199" s="13" t="s">
        <v>22</v>
      </c>
      <c r="N199" s="12">
        <v>44431</v>
      </c>
      <c r="O199" s="17">
        <v>1499.95</v>
      </c>
    </row>
    <row r="200" spans="2:15" ht="15.75" customHeight="1" x14ac:dyDescent="0.3">
      <c r="B200" s="11" t="s">
        <v>341</v>
      </c>
      <c r="C200" s="12">
        <v>45673</v>
      </c>
      <c r="D200" s="13" t="s">
        <v>59</v>
      </c>
      <c r="E200" s="13" t="s">
        <v>60</v>
      </c>
      <c r="F200" s="13" t="s">
        <v>44</v>
      </c>
      <c r="G200" s="13" t="s">
        <v>45</v>
      </c>
      <c r="H200" s="13" t="s">
        <v>46</v>
      </c>
      <c r="I200" s="13">
        <v>3</v>
      </c>
      <c r="J200" s="19">
        <v>149.99</v>
      </c>
      <c r="K200" s="13" t="s">
        <v>26</v>
      </c>
      <c r="L200" s="13" t="s">
        <v>63</v>
      </c>
      <c r="M200" s="13" t="s">
        <v>36</v>
      </c>
      <c r="N200" s="12">
        <v>44395</v>
      </c>
      <c r="O200" s="17">
        <v>449.97</v>
      </c>
    </row>
    <row r="201" spans="2:15" ht="15.75" customHeight="1" x14ac:dyDescent="0.3">
      <c r="B201" s="11" t="s">
        <v>342</v>
      </c>
      <c r="C201" s="12">
        <v>45676</v>
      </c>
      <c r="D201" s="13" t="s">
        <v>129</v>
      </c>
      <c r="E201" s="13" t="s">
        <v>130</v>
      </c>
      <c r="F201" s="13" t="s">
        <v>31</v>
      </c>
      <c r="G201" s="13" t="s">
        <v>32</v>
      </c>
      <c r="H201" s="13" t="s">
        <v>33</v>
      </c>
      <c r="I201" s="13">
        <v>5</v>
      </c>
      <c r="J201" s="19">
        <v>59.99</v>
      </c>
      <c r="K201" s="13" t="s">
        <v>57</v>
      </c>
      <c r="L201" s="13" t="s">
        <v>63</v>
      </c>
      <c r="M201" s="13" t="s">
        <v>22</v>
      </c>
      <c r="N201" s="12">
        <v>44642</v>
      </c>
      <c r="O201" s="17">
        <v>299.95</v>
      </c>
    </row>
    <row r="202" spans="2:15" ht="15.75" customHeight="1" x14ac:dyDescent="0.3">
      <c r="B202" s="11" t="s">
        <v>343</v>
      </c>
      <c r="C202" s="12">
        <v>45682</v>
      </c>
      <c r="D202" s="13" t="s">
        <v>68</v>
      </c>
      <c r="E202" s="13" t="s">
        <v>69</v>
      </c>
      <c r="F202" s="13" t="s">
        <v>31</v>
      </c>
      <c r="G202" s="13" t="s">
        <v>32</v>
      </c>
      <c r="H202" s="13" t="s">
        <v>33</v>
      </c>
      <c r="I202" s="13">
        <v>4</v>
      </c>
      <c r="J202" s="19">
        <v>59.99</v>
      </c>
      <c r="K202" s="13" t="s">
        <v>57</v>
      </c>
      <c r="L202" s="13" t="s">
        <v>63</v>
      </c>
      <c r="M202" s="13" t="s">
        <v>36</v>
      </c>
      <c r="N202" s="12">
        <v>44564</v>
      </c>
      <c r="O202" s="17">
        <v>239.96</v>
      </c>
    </row>
    <row r="203" spans="2:15" ht="15.75" customHeight="1" x14ac:dyDescent="0.3">
      <c r="B203" s="11" t="s">
        <v>344</v>
      </c>
      <c r="C203" s="12">
        <v>45683</v>
      </c>
      <c r="D203" s="13" t="s">
        <v>48</v>
      </c>
      <c r="E203" s="13" t="s">
        <v>49</v>
      </c>
      <c r="F203" s="13" t="s">
        <v>17</v>
      </c>
      <c r="G203" s="13" t="s">
        <v>18</v>
      </c>
      <c r="H203" s="13" t="s">
        <v>19</v>
      </c>
      <c r="I203" s="13">
        <v>4</v>
      </c>
      <c r="J203" s="19">
        <v>249.99</v>
      </c>
      <c r="K203" s="13" t="s">
        <v>57</v>
      </c>
      <c r="L203" s="13" t="s">
        <v>21</v>
      </c>
      <c r="M203" s="13" t="s">
        <v>27</v>
      </c>
      <c r="N203" s="12">
        <v>45217</v>
      </c>
      <c r="O203" s="17">
        <v>999.96</v>
      </c>
    </row>
    <row r="204" spans="2:15" ht="15.75" customHeight="1" x14ac:dyDescent="0.3">
      <c r="B204" s="11" t="s">
        <v>345</v>
      </c>
      <c r="C204" s="12">
        <v>45686</v>
      </c>
      <c r="D204" s="13" t="s">
        <v>252</v>
      </c>
      <c r="E204" s="13" t="s">
        <v>253</v>
      </c>
      <c r="F204" s="13" t="s">
        <v>61</v>
      </c>
      <c r="G204" s="13" t="s">
        <v>62</v>
      </c>
      <c r="H204" s="13" t="s">
        <v>19</v>
      </c>
      <c r="I204" s="13">
        <v>4</v>
      </c>
      <c r="J204" s="19">
        <v>899.99</v>
      </c>
      <c r="K204" s="13" t="s">
        <v>34</v>
      </c>
      <c r="L204" s="13" t="s">
        <v>21</v>
      </c>
      <c r="M204" s="13" t="s">
        <v>22</v>
      </c>
      <c r="N204" s="12">
        <v>44734</v>
      </c>
      <c r="O204" s="17">
        <v>3599.96</v>
      </c>
    </row>
    <row r="205" spans="2:15" ht="15.75" customHeight="1" x14ac:dyDescent="0.3">
      <c r="B205" s="11" t="s">
        <v>346</v>
      </c>
      <c r="C205" s="12">
        <v>45686</v>
      </c>
      <c r="D205" s="13" t="s">
        <v>86</v>
      </c>
      <c r="E205" s="13" t="s">
        <v>87</v>
      </c>
      <c r="F205" s="13" t="s">
        <v>105</v>
      </c>
      <c r="G205" s="13" t="s">
        <v>106</v>
      </c>
      <c r="H205" s="13" t="s">
        <v>46</v>
      </c>
      <c r="I205" s="13">
        <v>3</v>
      </c>
      <c r="J205" s="19">
        <v>299.99</v>
      </c>
      <c r="K205" s="13" t="s">
        <v>57</v>
      </c>
      <c r="L205" s="13" t="s">
        <v>50</v>
      </c>
      <c r="M205" s="13" t="s">
        <v>36</v>
      </c>
      <c r="N205" s="12">
        <v>44952</v>
      </c>
      <c r="O205" s="17">
        <v>899.97</v>
      </c>
    </row>
    <row r="206" spans="2:15" ht="15.75" customHeight="1" x14ac:dyDescent="0.3">
      <c r="B206" s="11" t="s">
        <v>347</v>
      </c>
      <c r="C206" s="12">
        <v>45686</v>
      </c>
      <c r="D206" s="13" t="s">
        <v>293</v>
      </c>
      <c r="E206" s="13" t="s">
        <v>294</v>
      </c>
      <c r="F206" s="13" t="s">
        <v>80</v>
      </c>
      <c r="G206" s="13" t="s">
        <v>81</v>
      </c>
      <c r="H206" s="13" t="s">
        <v>19</v>
      </c>
      <c r="I206" s="13">
        <v>2</v>
      </c>
      <c r="J206" s="19">
        <v>699.99</v>
      </c>
      <c r="K206" s="13" t="s">
        <v>57</v>
      </c>
      <c r="L206" s="13" t="s">
        <v>21</v>
      </c>
      <c r="M206" s="13" t="s">
        <v>27</v>
      </c>
      <c r="N206" s="12">
        <v>44681</v>
      </c>
      <c r="O206" s="17">
        <v>1399.98</v>
      </c>
    </row>
    <row r="207" spans="2:15" ht="15.75" customHeight="1" x14ac:dyDescent="0.3">
      <c r="B207" s="11" t="s">
        <v>348</v>
      </c>
      <c r="C207" s="12">
        <v>45688</v>
      </c>
      <c r="D207" s="13" t="s">
        <v>65</v>
      </c>
      <c r="E207" s="13" t="s">
        <v>66</v>
      </c>
      <c r="F207" s="13" t="s">
        <v>80</v>
      </c>
      <c r="G207" s="13" t="s">
        <v>81</v>
      </c>
      <c r="H207" s="13" t="s">
        <v>19</v>
      </c>
      <c r="I207" s="13">
        <v>4</v>
      </c>
      <c r="J207" s="19">
        <v>699.99</v>
      </c>
      <c r="K207" s="13" t="s">
        <v>57</v>
      </c>
      <c r="L207" s="13" t="s">
        <v>50</v>
      </c>
      <c r="M207" s="13" t="s">
        <v>27</v>
      </c>
      <c r="N207" s="12">
        <v>44692</v>
      </c>
      <c r="O207" s="17">
        <v>2799.96</v>
      </c>
    </row>
    <row r="208" spans="2:15" ht="15.75" customHeight="1" x14ac:dyDescent="0.3">
      <c r="B208" s="11" t="s">
        <v>349</v>
      </c>
      <c r="C208" s="12">
        <v>45688</v>
      </c>
      <c r="D208" s="13" t="s">
        <v>123</v>
      </c>
      <c r="E208" s="13" t="s">
        <v>124</v>
      </c>
      <c r="F208" s="13" t="s">
        <v>117</v>
      </c>
      <c r="G208" s="13" t="s">
        <v>118</v>
      </c>
      <c r="H208" s="13" t="s">
        <v>19</v>
      </c>
      <c r="I208" s="13">
        <v>2</v>
      </c>
      <c r="J208" s="19">
        <v>89.99</v>
      </c>
      <c r="K208" s="13" t="s">
        <v>57</v>
      </c>
      <c r="L208" s="13" t="s">
        <v>35</v>
      </c>
      <c r="M208" s="13" t="s">
        <v>22</v>
      </c>
      <c r="N208" s="12">
        <v>44777</v>
      </c>
      <c r="O208" s="17">
        <v>179.98</v>
      </c>
    </row>
    <row r="209" spans="2:15" ht="15.75" customHeight="1" x14ac:dyDescent="0.3">
      <c r="B209" s="11" t="s">
        <v>350</v>
      </c>
      <c r="C209" s="12">
        <v>45688</v>
      </c>
      <c r="D209" s="13" t="s">
        <v>42</v>
      </c>
      <c r="E209" s="13" t="s">
        <v>43</v>
      </c>
      <c r="F209" s="13" t="s">
        <v>117</v>
      </c>
      <c r="G209" s="13" t="s">
        <v>118</v>
      </c>
      <c r="H209" s="13" t="s">
        <v>19</v>
      </c>
      <c r="I209" s="13">
        <v>3</v>
      </c>
      <c r="J209" s="19">
        <v>89.99</v>
      </c>
      <c r="K209" s="13" t="s">
        <v>57</v>
      </c>
      <c r="L209" s="13" t="s">
        <v>35</v>
      </c>
      <c r="M209" s="13" t="s">
        <v>27</v>
      </c>
      <c r="N209" s="12">
        <v>45307</v>
      </c>
      <c r="O209" s="17">
        <v>269.97000000000003</v>
      </c>
    </row>
    <row r="210" spans="2:15" ht="15.75" customHeight="1" x14ac:dyDescent="0.3">
      <c r="B210" s="11" t="s">
        <v>351</v>
      </c>
      <c r="C210" s="12">
        <v>45692</v>
      </c>
      <c r="D210" s="13" t="s">
        <v>325</v>
      </c>
      <c r="E210" s="13" t="s">
        <v>326</v>
      </c>
      <c r="F210" s="13" t="s">
        <v>31</v>
      </c>
      <c r="G210" s="13" t="s">
        <v>32</v>
      </c>
      <c r="H210" s="13" t="s">
        <v>33</v>
      </c>
      <c r="I210" s="13">
        <v>1</v>
      </c>
      <c r="J210" s="19">
        <v>59.99</v>
      </c>
      <c r="K210" s="13" t="s">
        <v>57</v>
      </c>
      <c r="L210" s="13" t="s">
        <v>21</v>
      </c>
      <c r="M210" s="13" t="s">
        <v>36</v>
      </c>
      <c r="N210" s="12">
        <v>45045</v>
      </c>
      <c r="O210" s="17">
        <v>59.99</v>
      </c>
    </row>
    <row r="211" spans="2:15" ht="15.75" customHeight="1" x14ac:dyDescent="0.3">
      <c r="B211" s="11" t="s">
        <v>352</v>
      </c>
      <c r="C211" s="12">
        <v>45695</v>
      </c>
      <c r="D211" s="13" t="s">
        <v>246</v>
      </c>
      <c r="E211" s="13" t="s">
        <v>247</v>
      </c>
      <c r="F211" s="13" t="s">
        <v>44</v>
      </c>
      <c r="G211" s="13" t="s">
        <v>45</v>
      </c>
      <c r="H211" s="13" t="s">
        <v>46</v>
      </c>
      <c r="I211" s="13">
        <v>3</v>
      </c>
      <c r="J211" s="19">
        <v>149.99</v>
      </c>
      <c r="K211" s="13" t="s">
        <v>57</v>
      </c>
      <c r="L211" s="13" t="s">
        <v>40</v>
      </c>
      <c r="M211" s="13" t="s">
        <v>27</v>
      </c>
      <c r="N211" s="12">
        <v>44564</v>
      </c>
      <c r="O211" s="17">
        <v>449.97</v>
      </c>
    </row>
    <row r="212" spans="2:15" ht="15.75" customHeight="1" x14ac:dyDescent="0.3">
      <c r="B212" s="11" t="s">
        <v>353</v>
      </c>
      <c r="C212" s="12">
        <v>45695</v>
      </c>
      <c r="D212" s="13" t="s">
        <v>93</v>
      </c>
      <c r="E212" s="13" t="s">
        <v>94</v>
      </c>
      <c r="F212" s="13" t="s">
        <v>105</v>
      </c>
      <c r="G212" s="13" t="s">
        <v>106</v>
      </c>
      <c r="H212" s="13" t="s">
        <v>46</v>
      </c>
      <c r="I212" s="13">
        <v>5</v>
      </c>
      <c r="J212" s="19">
        <v>299.99</v>
      </c>
      <c r="K212" s="13" t="s">
        <v>26</v>
      </c>
      <c r="L212" s="13" t="s">
        <v>35</v>
      </c>
      <c r="M212" s="13" t="s">
        <v>22</v>
      </c>
      <c r="N212" s="12">
        <v>44959</v>
      </c>
      <c r="O212" s="17">
        <v>1499.95</v>
      </c>
    </row>
    <row r="213" spans="2:15" ht="15.75" customHeight="1" x14ac:dyDescent="0.3">
      <c r="B213" s="11" t="s">
        <v>354</v>
      </c>
      <c r="C213" s="12">
        <v>45696</v>
      </c>
      <c r="D213" s="13" t="s">
        <v>150</v>
      </c>
      <c r="E213" s="13" t="s">
        <v>151</v>
      </c>
      <c r="F213" s="13" t="s">
        <v>31</v>
      </c>
      <c r="G213" s="13" t="s">
        <v>32</v>
      </c>
      <c r="H213" s="13" t="s">
        <v>33</v>
      </c>
      <c r="I213" s="13">
        <v>5</v>
      </c>
      <c r="J213" s="19">
        <v>59.99</v>
      </c>
      <c r="K213" s="13" t="s">
        <v>57</v>
      </c>
      <c r="L213" s="13" t="s">
        <v>21</v>
      </c>
      <c r="M213" s="13" t="s">
        <v>36</v>
      </c>
      <c r="N213" s="12">
        <v>45177</v>
      </c>
      <c r="O213" s="17">
        <v>299.95</v>
      </c>
    </row>
    <row r="214" spans="2:15" ht="15.75" customHeight="1" x14ac:dyDescent="0.3">
      <c r="B214" s="11" t="s">
        <v>355</v>
      </c>
      <c r="C214" s="12">
        <v>45701</v>
      </c>
      <c r="D214" s="13" t="s">
        <v>108</v>
      </c>
      <c r="E214" s="13" t="s">
        <v>109</v>
      </c>
      <c r="F214" s="13" t="s">
        <v>114</v>
      </c>
      <c r="G214" s="13" t="s">
        <v>115</v>
      </c>
      <c r="H214" s="13" t="s">
        <v>33</v>
      </c>
      <c r="I214" s="13">
        <v>3</v>
      </c>
      <c r="J214" s="19">
        <v>79.989999999999995</v>
      </c>
      <c r="K214" s="13" t="s">
        <v>20</v>
      </c>
      <c r="L214" s="13" t="s">
        <v>63</v>
      </c>
      <c r="M214" s="13" t="s">
        <v>27</v>
      </c>
      <c r="N214" s="12">
        <v>44436</v>
      </c>
      <c r="O214" s="17">
        <v>239.97</v>
      </c>
    </row>
    <row r="215" spans="2:15" ht="15.75" customHeight="1" x14ac:dyDescent="0.3">
      <c r="B215" s="11" t="s">
        <v>356</v>
      </c>
      <c r="C215" s="12">
        <v>45704</v>
      </c>
      <c r="D215" s="13" t="s">
        <v>29</v>
      </c>
      <c r="E215" s="13" t="s">
        <v>30</v>
      </c>
      <c r="F215" s="13" t="s">
        <v>126</v>
      </c>
      <c r="G215" s="13" t="s">
        <v>127</v>
      </c>
      <c r="H215" s="13" t="s">
        <v>46</v>
      </c>
      <c r="I215" s="13">
        <v>3</v>
      </c>
      <c r="J215" s="19">
        <v>199.99</v>
      </c>
      <c r="K215" s="13" t="s">
        <v>20</v>
      </c>
      <c r="L215" s="13" t="s">
        <v>21</v>
      </c>
      <c r="M215" s="13" t="s">
        <v>22</v>
      </c>
      <c r="N215" s="12">
        <v>44735</v>
      </c>
      <c r="O215" s="17">
        <v>599.97</v>
      </c>
    </row>
    <row r="216" spans="2:15" ht="15.75" customHeight="1" x14ac:dyDescent="0.3">
      <c r="B216" s="11" t="s">
        <v>357</v>
      </c>
      <c r="C216" s="12">
        <v>45704</v>
      </c>
      <c r="D216" s="13" t="s">
        <v>15</v>
      </c>
      <c r="E216" s="13" t="s">
        <v>16</v>
      </c>
      <c r="F216" s="13" t="s">
        <v>117</v>
      </c>
      <c r="G216" s="13" t="s">
        <v>118</v>
      </c>
      <c r="H216" s="13" t="s">
        <v>19</v>
      </c>
      <c r="I216" s="13">
        <v>2</v>
      </c>
      <c r="J216" s="19">
        <v>89.99</v>
      </c>
      <c r="K216" s="13" t="s">
        <v>34</v>
      </c>
      <c r="L216" s="13" t="s">
        <v>21</v>
      </c>
      <c r="M216" s="13" t="s">
        <v>22</v>
      </c>
      <c r="N216" s="12">
        <v>45257</v>
      </c>
      <c r="O216" s="17">
        <v>179.98</v>
      </c>
    </row>
    <row r="217" spans="2:15" ht="15.75" customHeight="1" x14ac:dyDescent="0.3">
      <c r="B217" s="11" t="s">
        <v>358</v>
      </c>
      <c r="C217" s="12">
        <v>45705</v>
      </c>
      <c r="D217" s="13" t="s">
        <v>259</v>
      </c>
      <c r="E217" s="13" t="s">
        <v>260</v>
      </c>
      <c r="F217" s="13" t="s">
        <v>44</v>
      </c>
      <c r="G217" s="13" t="s">
        <v>45</v>
      </c>
      <c r="H217" s="13" t="s">
        <v>46</v>
      </c>
      <c r="I217" s="13">
        <v>2</v>
      </c>
      <c r="J217" s="19">
        <v>149.99</v>
      </c>
      <c r="K217" s="13" t="s">
        <v>20</v>
      </c>
      <c r="L217" s="13" t="s">
        <v>35</v>
      </c>
      <c r="M217" s="13" t="s">
        <v>27</v>
      </c>
      <c r="N217" s="12">
        <v>44728</v>
      </c>
      <c r="O217" s="17">
        <v>299.98</v>
      </c>
    </row>
    <row r="218" spans="2:15" ht="15.75" customHeight="1" x14ac:dyDescent="0.3">
      <c r="B218" s="11" t="s">
        <v>359</v>
      </c>
      <c r="C218" s="12">
        <v>45707</v>
      </c>
      <c r="D218" s="13" t="s">
        <v>123</v>
      </c>
      <c r="E218" s="13" t="s">
        <v>124</v>
      </c>
      <c r="F218" s="13" t="s">
        <v>80</v>
      </c>
      <c r="G218" s="13" t="s">
        <v>81</v>
      </c>
      <c r="H218" s="13" t="s">
        <v>19</v>
      </c>
      <c r="I218" s="13">
        <v>5</v>
      </c>
      <c r="J218" s="19">
        <v>699.99</v>
      </c>
      <c r="K218" s="13" t="s">
        <v>34</v>
      </c>
      <c r="L218" s="13" t="s">
        <v>35</v>
      </c>
      <c r="M218" s="13" t="s">
        <v>27</v>
      </c>
      <c r="N218" s="12">
        <v>45352</v>
      </c>
      <c r="O218" s="17">
        <v>3499.95</v>
      </c>
    </row>
    <row r="219" spans="2:15" ht="15.75" customHeight="1" x14ac:dyDescent="0.3">
      <c r="B219" s="11" t="s">
        <v>360</v>
      </c>
      <c r="C219" s="12">
        <v>45707</v>
      </c>
      <c r="D219" s="13" t="s">
        <v>42</v>
      </c>
      <c r="E219" s="13" t="s">
        <v>43</v>
      </c>
      <c r="F219" s="13" t="s">
        <v>44</v>
      </c>
      <c r="G219" s="13" t="s">
        <v>45</v>
      </c>
      <c r="H219" s="13" t="s">
        <v>46</v>
      </c>
      <c r="I219" s="13">
        <v>3</v>
      </c>
      <c r="J219" s="19">
        <v>149.99</v>
      </c>
      <c r="K219" s="13" t="s">
        <v>34</v>
      </c>
      <c r="L219" s="13" t="s">
        <v>21</v>
      </c>
      <c r="M219" s="13" t="s">
        <v>36</v>
      </c>
      <c r="N219" s="12">
        <v>44633</v>
      </c>
      <c r="O219" s="17">
        <v>449.97</v>
      </c>
    </row>
    <row r="220" spans="2:15" ht="15.75" customHeight="1" x14ac:dyDescent="0.3">
      <c r="B220" s="11" t="s">
        <v>361</v>
      </c>
      <c r="C220" s="12">
        <v>45708</v>
      </c>
      <c r="D220" s="13" t="s">
        <v>96</v>
      </c>
      <c r="E220" s="13" t="s">
        <v>97</v>
      </c>
      <c r="F220" s="13" t="s">
        <v>61</v>
      </c>
      <c r="G220" s="13" t="s">
        <v>62</v>
      </c>
      <c r="H220" s="13" t="s">
        <v>19</v>
      </c>
      <c r="I220" s="13">
        <v>3</v>
      </c>
      <c r="J220" s="19">
        <v>899.99</v>
      </c>
      <c r="K220" s="13" t="s">
        <v>20</v>
      </c>
      <c r="L220" s="13" t="s">
        <v>63</v>
      </c>
      <c r="M220" s="13" t="s">
        <v>36</v>
      </c>
      <c r="N220" s="12">
        <v>44613</v>
      </c>
      <c r="O220" s="17">
        <v>2699.97</v>
      </c>
    </row>
    <row r="221" spans="2:15" ht="15.75" customHeight="1" x14ac:dyDescent="0.3">
      <c r="B221" s="11" t="s">
        <v>362</v>
      </c>
      <c r="C221" s="12">
        <v>45708</v>
      </c>
      <c r="D221" s="13" t="s">
        <v>192</v>
      </c>
      <c r="E221" s="13" t="s">
        <v>193</v>
      </c>
      <c r="F221" s="13" t="s">
        <v>126</v>
      </c>
      <c r="G221" s="13" t="s">
        <v>127</v>
      </c>
      <c r="H221" s="13" t="s">
        <v>46</v>
      </c>
      <c r="I221" s="13">
        <v>3</v>
      </c>
      <c r="J221" s="19">
        <v>199.99</v>
      </c>
      <c r="K221" s="13" t="s">
        <v>20</v>
      </c>
      <c r="L221" s="13" t="s">
        <v>50</v>
      </c>
      <c r="M221" s="13" t="s">
        <v>27</v>
      </c>
      <c r="N221" s="12">
        <v>44823</v>
      </c>
      <c r="O221" s="17">
        <v>599.97</v>
      </c>
    </row>
    <row r="222" spans="2:15" ht="15.75" customHeight="1" x14ac:dyDescent="0.3">
      <c r="B222" s="11" t="s">
        <v>363</v>
      </c>
      <c r="C222" s="12">
        <v>45710</v>
      </c>
      <c r="D222" s="13" t="s">
        <v>55</v>
      </c>
      <c r="E222" s="13" t="s">
        <v>56</v>
      </c>
      <c r="F222" s="13" t="s">
        <v>105</v>
      </c>
      <c r="G222" s="13" t="s">
        <v>106</v>
      </c>
      <c r="H222" s="13" t="s">
        <v>46</v>
      </c>
      <c r="I222" s="13">
        <v>5</v>
      </c>
      <c r="J222" s="19">
        <v>299.99</v>
      </c>
      <c r="K222" s="13" t="s">
        <v>20</v>
      </c>
      <c r="L222" s="13" t="s">
        <v>50</v>
      </c>
      <c r="M222" s="13" t="s">
        <v>36</v>
      </c>
      <c r="N222" s="12">
        <v>45142</v>
      </c>
      <c r="O222" s="17">
        <v>1499.95</v>
      </c>
    </row>
    <row r="223" spans="2:15" ht="15.75" customHeight="1" x14ac:dyDescent="0.3">
      <c r="B223" s="11" t="s">
        <v>364</v>
      </c>
      <c r="C223" s="12">
        <v>45710</v>
      </c>
      <c r="D223" s="13" t="s">
        <v>150</v>
      </c>
      <c r="E223" s="13" t="s">
        <v>151</v>
      </c>
      <c r="F223" s="13" t="s">
        <v>80</v>
      </c>
      <c r="G223" s="13" t="s">
        <v>81</v>
      </c>
      <c r="H223" s="13" t="s">
        <v>19</v>
      </c>
      <c r="I223" s="13">
        <v>1</v>
      </c>
      <c r="J223" s="19">
        <v>699.99</v>
      </c>
      <c r="K223" s="13" t="s">
        <v>34</v>
      </c>
      <c r="L223" s="13" t="s">
        <v>50</v>
      </c>
      <c r="M223" s="13" t="s">
        <v>22</v>
      </c>
      <c r="N223" s="12">
        <v>44934</v>
      </c>
      <c r="O223" s="17">
        <v>699.99</v>
      </c>
    </row>
    <row r="224" spans="2:15" ht="15.75" customHeight="1" x14ac:dyDescent="0.3">
      <c r="B224" s="11" t="s">
        <v>365</v>
      </c>
      <c r="C224" s="12">
        <v>45711</v>
      </c>
      <c r="D224" s="13" t="s">
        <v>246</v>
      </c>
      <c r="E224" s="13" t="s">
        <v>247</v>
      </c>
      <c r="F224" s="13" t="s">
        <v>80</v>
      </c>
      <c r="G224" s="13" t="s">
        <v>81</v>
      </c>
      <c r="H224" s="13" t="s">
        <v>19</v>
      </c>
      <c r="I224" s="13">
        <v>1</v>
      </c>
      <c r="J224" s="19">
        <v>699.99</v>
      </c>
      <c r="K224" s="13" t="s">
        <v>20</v>
      </c>
      <c r="L224" s="13" t="s">
        <v>40</v>
      </c>
      <c r="M224" s="13" t="s">
        <v>27</v>
      </c>
      <c r="N224" s="12">
        <v>44583</v>
      </c>
      <c r="O224" s="17">
        <v>699.99</v>
      </c>
    </row>
    <row r="225" spans="2:15" ht="15.75" customHeight="1" x14ac:dyDescent="0.3">
      <c r="B225" s="11" t="s">
        <v>366</v>
      </c>
      <c r="C225" s="12">
        <v>45711</v>
      </c>
      <c r="D225" s="13" t="s">
        <v>325</v>
      </c>
      <c r="E225" s="13" t="s">
        <v>326</v>
      </c>
      <c r="F225" s="13" t="s">
        <v>44</v>
      </c>
      <c r="G225" s="13" t="s">
        <v>45</v>
      </c>
      <c r="H225" s="13" t="s">
        <v>46</v>
      </c>
      <c r="I225" s="13">
        <v>4</v>
      </c>
      <c r="J225" s="19">
        <v>149.99</v>
      </c>
      <c r="K225" s="13" t="s">
        <v>34</v>
      </c>
      <c r="L225" s="13" t="s">
        <v>40</v>
      </c>
      <c r="M225" s="13" t="s">
        <v>27</v>
      </c>
      <c r="N225" s="12">
        <v>44412</v>
      </c>
      <c r="O225" s="17">
        <v>599.96</v>
      </c>
    </row>
    <row r="226" spans="2:15" ht="15.75" customHeight="1" x14ac:dyDescent="0.3">
      <c r="B226" s="11" t="s">
        <v>367</v>
      </c>
      <c r="C226" s="12">
        <v>45711</v>
      </c>
      <c r="D226" s="13" t="s">
        <v>211</v>
      </c>
      <c r="E226" s="13" t="s">
        <v>212</v>
      </c>
      <c r="F226" s="13" t="s">
        <v>117</v>
      </c>
      <c r="G226" s="13" t="s">
        <v>118</v>
      </c>
      <c r="H226" s="13" t="s">
        <v>19</v>
      </c>
      <c r="I226" s="13">
        <v>5</v>
      </c>
      <c r="J226" s="19">
        <v>89.99</v>
      </c>
      <c r="K226" s="13" t="s">
        <v>34</v>
      </c>
      <c r="L226" s="13" t="s">
        <v>50</v>
      </c>
      <c r="M226" s="13" t="s">
        <v>27</v>
      </c>
      <c r="N226" s="12">
        <v>45140</v>
      </c>
      <c r="O226" s="17">
        <v>449.95</v>
      </c>
    </row>
    <row r="227" spans="2:15" ht="15.75" customHeight="1" x14ac:dyDescent="0.3">
      <c r="B227" s="11" t="s">
        <v>368</v>
      </c>
      <c r="C227" s="12">
        <v>45712</v>
      </c>
      <c r="D227" s="13" t="s">
        <v>138</v>
      </c>
      <c r="E227" s="13" t="s">
        <v>139</v>
      </c>
      <c r="F227" s="13" t="s">
        <v>126</v>
      </c>
      <c r="G227" s="13" t="s">
        <v>127</v>
      </c>
      <c r="H227" s="13" t="s">
        <v>46</v>
      </c>
      <c r="I227" s="13">
        <v>2</v>
      </c>
      <c r="J227" s="19">
        <v>199.99</v>
      </c>
      <c r="K227" s="13" t="s">
        <v>20</v>
      </c>
      <c r="L227" s="13" t="s">
        <v>21</v>
      </c>
      <c r="M227" s="13" t="s">
        <v>27</v>
      </c>
      <c r="N227" s="12">
        <v>44573</v>
      </c>
      <c r="O227" s="17">
        <v>399.98</v>
      </c>
    </row>
    <row r="228" spans="2:15" ht="15.75" customHeight="1" x14ac:dyDescent="0.3">
      <c r="B228" s="11" t="s">
        <v>369</v>
      </c>
      <c r="C228" s="12">
        <v>45715</v>
      </c>
      <c r="D228" s="13" t="s">
        <v>259</v>
      </c>
      <c r="E228" s="13" t="s">
        <v>260</v>
      </c>
      <c r="F228" s="13" t="s">
        <v>31</v>
      </c>
      <c r="G228" s="13" t="s">
        <v>32</v>
      </c>
      <c r="H228" s="13" t="s">
        <v>33</v>
      </c>
      <c r="I228" s="13">
        <v>4</v>
      </c>
      <c r="J228" s="19">
        <v>59.99</v>
      </c>
      <c r="K228" s="13" t="s">
        <v>20</v>
      </c>
      <c r="L228" s="13" t="s">
        <v>50</v>
      </c>
      <c r="M228" s="13" t="s">
        <v>36</v>
      </c>
      <c r="N228" s="12">
        <v>45070</v>
      </c>
      <c r="O228" s="17">
        <v>239.96</v>
      </c>
    </row>
    <row r="229" spans="2:15" ht="15.75" customHeight="1" x14ac:dyDescent="0.3">
      <c r="B229" s="11" t="s">
        <v>370</v>
      </c>
      <c r="C229" s="12">
        <v>45715</v>
      </c>
      <c r="D229" s="13" t="s">
        <v>93</v>
      </c>
      <c r="E229" s="13" t="s">
        <v>94</v>
      </c>
      <c r="F229" s="13" t="s">
        <v>105</v>
      </c>
      <c r="G229" s="13" t="s">
        <v>106</v>
      </c>
      <c r="H229" s="13" t="s">
        <v>46</v>
      </c>
      <c r="I229" s="13">
        <v>2</v>
      </c>
      <c r="J229" s="19">
        <v>299.99</v>
      </c>
      <c r="K229" s="13" t="s">
        <v>34</v>
      </c>
      <c r="L229" s="13" t="s">
        <v>35</v>
      </c>
      <c r="M229" s="13" t="s">
        <v>22</v>
      </c>
      <c r="N229" s="12">
        <v>44576</v>
      </c>
      <c r="O229" s="17">
        <v>599.98</v>
      </c>
    </row>
    <row r="230" spans="2:15" ht="15.75" customHeight="1" x14ac:dyDescent="0.3">
      <c r="B230" s="11" t="s">
        <v>371</v>
      </c>
      <c r="C230" s="12">
        <v>45718</v>
      </c>
      <c r="D230" s="13" t="s">
        <v>55</v>
      </c>
      <c r="E230" s="13" t="s">
        <v>56</v>
      </c>
      <c r="F230" s="13" t="s">
        <v>44</v>
      </c>
      <c r="G230" s="13" t="s">
        <v>45</v>
      </c>
      <c r="H230" s="13" t="s">
        <v>46</v>
      </c>
      <c r="I230" s="13">
        <v>2</v>
      </c>
      <c r="J230" s="19">
        <v>149.99</v>
      </c>
      <c r="K230" s="13" t="s">
        <v>20</v>
      </c>
      <c r="L230" s="13" t="s">
        <v>21</v>
      </c>
      <c r="M230" s="13" t="s">
        <v>22</v>
      </c>
      <c r="N230" s="12">
        <v>45068</v>
      </c>
      <c r="O230" s="17">
        <v>299.98</v>
      </c>
    </row>
    <row r="231" spans="2:15" ht="15.75" customHeight="1" x14ac:dyDescent="0.3">
      <c r="B231" s="11" t="s">
        <v>372</v>
      </c>
      <c r="C231" s="12">
        <v>45720</v>
      </c>
      <c r="D231" s="13" t="s">
        <v>226</v>
      </c>
      <c r="E231" s="13" t="s">
        <v>227</v>
      </c>
      <c r="F231" s="13" t="s">
        <v>80</v>
      </c>
      <c r="G231" s="13" t="s">
        <v>81</v>
      </c>
      <c r="H231" s="13" t="s">
        <v>19</v>
      </c>
      <c r="I231" s="13">
        <v>5</v>
      </c>
      <c r="J231" s="19">
        <v>699.99</v>
      </c>
      <c r="K231" s="13" t="s">
        <v>57</v>
      </c>
      <c r="L231" s="13" t="s">
        <v>63</v>
      </c>
      <c r="M231" s="13" t="s">
        <v>27</v>
      </c>
      <c r="N231" s="12">
        <v>45161</v>
      </c>
      <c r="O231" s="17">
        <v>3499.95</v>
      </c>
    </row>
    <row r="232" spans="2:15" ht="15.75" customHeight="1" x14ac:dyDescent="0.3">
      <c r="B232" s="11" t="s">
        <v>373</v>
      </c>
      <c r="C232" s="12">
        <v>45721</v>
      </c>
      <c r="D232" s="13" t="s">
        <v>75</v>
      </c>
      <c r="E232" s="13" t="s">
        <v>76</v>
      </c>
      <c r="F232" s="13" t="s">
        <v>31</v>
      </c>
      <c r="G232" s="13" t="s">
        <v>32</v>
      </c>
      <c r="H232" s="13" t="s">
        <v>33</v>
      </c>
      <c r="I232" s="13">
        <v>5</v>
      </c>
      <c r="J232" s="19">
        <v>59.99</v>
      </c>
      <c r="K232" s="13" t="s">
        <v>20</v>
      </c>
      <c r="L232" s="13" t="s">
        <v>50</v>
      </c>
      <c r="M232" s="13" t="s">
        <v>27</v>
      </c>
      <c r="N232" s="12">
        <v>45291</v>
      </c>
      <c r="O232" s="17">
        <v>299.95</v>
      </c>
    </row>
    <row r="233" spans="2:15" ht="15.75" customHeight="1" x14ac:dyDescent="0.3">
      <c r="B233" s="11" t="s">
        <v>374</v>
      </c>
      <c r="C233" s="12">
        <v>45723</v>
      </c>
      <c r="D233" s="13" t="s">
        <v>15</v>
      </c>
      <c r="E233" s="13" t="s">
        <v>16</v>
      </c>
      <c r="F233" s="13" t="s">
        <v>117</v>
      </c>
      <c r="G233" s="13" t="s">
        <v>118</v>
      </c>
      <c r="H233" s="13" t="s">
        <v>19</v>
      </c>
      <c r="I233" s="13">
        <v>2</v>
      </c>
      <c r="J233" s="19">
        <v>89.99</v>
      </c>
      <c r="K233" s="13" t="s">
        <v>26</v>
      </c>
      <c r="L233" s="13" t="s">
        <v>50</v>
      </c>
      <c r="M233" s="13" t="s">
        <v>27</v>
      </c>
      <c r="N233" s="12">
        <v>45295</v>
      </c>
      <c r="O233" s="17">
        <v>179.98</v>
      </c>
    </row>
    <row r="234" spans="2:15" ht="15.75" customHeight="1" x14ac:dyDescent="0.3">
      <c r="B234" s="11" t="s">
        <v>375</v>
      </c>
      <c r="C234" s="12">
        <v>45723</v>
      </c>
      <c r="D234" s="13" t="s">
        <v>120</v>
      </c>
      <c r="E234" s="13" t="s">
        <v>121</v>
      </c>
      <c r="F234" s="13" t="s">
        <v>17</v>
      </c>
      <c r="G234" s="13" t="s">
        <v>18</v>
      </c>
      <c r="H234" s="13" t="s">
        <v>19</v>
      </c>
      <c r="I234" s="13">
        <v>5</v>
      </c>
      <c r="J234" s="19">
        <v>249.99</v>
      </c>
      <c r="K234" s="13" t="s">
        <v>20</v>
      </c>
      <c r="L234" s="13" t="s">
        <v>63</v>
      </c>
      <c r="M234" s="13" t="s">
        <v>36</v>
      </c>
      <c r="N234" s="12">
        <v>44540</v>
      </c>
      <c r="O234" s="17">
        <v>1249.95</v>
      </c>
    </row>
    <row r="235" spans="2:15" ht="15.75" customHeight="1" x14ac:dyDescent="0.3">
      <c r="B235" s="11" t="s">
        <v>376</v>
      </c>
      <c r="C235" s="12">
        <v>45724</v>
      </c>
      <c r="D235" s="13" t="s">
        <v>226</v>
      </c>
      <c r="E235" s="13" t="s">
        <v>227</v>
      </c>
      <c r="F235" s="13" t="s">
        <v>44</v>
      </c>
      <c r="G235" s="13" t="s">
        <v>45</v>
      </c>
      <c r="H235" s="13" t="s">
        <v>46</v>
      </c>
      <c r="I235" s="13">
        <v>2</v>
      </c>
      <c r="J235" s="19">
        <v>149.99</v>
      </c>
      <c r="K235" s="13" t="s">
        <v>34</v>
      </c>
      <c r="L235" s="13" t="s">
        <v>21</v>
      </c>
      <c r="M235" s="13" t="s">
        <v>27</v>
      </c>
      <c r="N235" s="12">
        <v>44632</v>
      </c>
      <c r="O235" s="17">
        <v>299.98</v>
      </c>
    </row>
    <row r="236" spans="2:15" ht="15.75" customHeight="1" x14ac:dyDescent="0.3">
      <c r="B236" s="11" t="s">
        <v>377</v>
      </c>
      <c r="C236" s="12">
        <v>45724</v>
      </c>
      <c r="D236" s="13" t="s">
        <v>144</v>
      </c>
      <c r="E236" s="13" t="s">
        <v>145</v>
      </c>
      <c r="F236" s="13" t="s">
        <v>61</v>
      </c>
      <c r="G236" s="13" t="s">
        <v>62</v>
      </c>
      <c r="H236" s="13" t="s">
        <v>19</v>
      </c>
      <c r="I236" s="13">
        <v>5</v>
      </c>
      <c r="J236" s="19">
        <v>899.99</v>
      </c>
      <c r="K236" s="13" t="s">
        <v>34</v>
      </c>
      <c r="L236" s="13" t="s">
        <v>63</v>
      </c>
      <c r="M236" s="13" t="s">
        <v>27</v>
      </c>
      <c r="N236" s="12">
        <v>45389</v>
      </c>
      <c r="O236" s="17">
        <v>4499.95</v>
      </c>
    </row>
    <row r="237" spans="2:15" ht="15.75" customHeight="1" x14ac:dyDescent="0.3">
      <c r="B237" s="11" t="s">
        <v>378</v>
      </c>
      <c r="C237" s="12">
        <v>45724</v>
      </c>
      <c r="D237" s="13" t="s">
        <v>55</v>
      </c>
      <c r="E237" s="13" t="s">
        <v>56</v>
      </c>
      <c r="F237" s="13" t="s">
        <v>44</v>
      </c>
      <c r="G237" s="13" t="s">
        <v>45</v>
      </c>
      <c r="H237" s="13" t="s">
        <v>46</v>
      </c>
      <c r="I237" s="13">
        <v>4</v>
      </c>
      <c r="J237" s="19">
        <v>149.99</v>
      </c>
      <c r="K237" s="13" t="s">
        <v>20</v>
      </c>
      <c r="L237" s="13" t="s">
        <v>21</v>
      </c>
      <c r="M237" s="13" t="s">
        <v>36</v>
      </c>
      <c r="N237" s="12">
        <v>45263</v>
      </c>
      <c r="O237" s="17">
        <v>599.96</v>
      </c>
    </row>
    <row r="238" spans="2:15" ht="15.75" customHeight="1" x14ac:dyDescent="0.3">
      <c r="B238" s="11" t="s">
        <v>379</v>
      </c>
      <c r="C238" s="12">
        <v>45726</v>
      </c>
      <c r="D238" s="13" t="s">
        <v>144</v>
      </c>
      <c r="E238" s="13" t="s">
        <v>145</v>
      </c>
      <c r="F238" s="13" t="s">
        <v>17</v>
      </c>
      <c r="G238" s="13" t="s">
        <v>18</v>
      </c>
      <c r="H238" s="13" t="s">
        <v>19</v>
      </c>
      <c r="I238" s="13">
        <v>1</v>
      </c>
      <c r="J238" s="19">
        <v>249.99</v>
      </c>
      <c r="K238" s="13" t="s">
        <v>20</v>
      </c>
      <c r="L238" s="13" t="s">
        <v>40</v>
      </c>
      <c r="M238" s="13" t="s">
        <v>36</v>
      </c>
      <c r="N238" s="12">
        <v>45117</v>
      </c>
      <c r="O238" s="17">
        <v>249.99</v>
      </c>
    </row>
    <row r="239" spans="2:15" ht="15.75" customHeight="1" x14ac:dyDescent="0.3">
      <c r="B239" s="11" t="s">
        <v>380</v>
      </c>
      <c r="C239" s="12">
        <v>45734</v>
      </c>
      <c r="D239" s="13" t="s">
        <v>192</v>
      </c>
      <c r="E239" s="13" t="s">
        <v>193</v>
      </c>
      <c r="F239" s="13" t="s">
        <v>31</v>
      </c>
      <c r="G239" s="13" t="s">
        <v>32</v>
      </c>
      <c r="H239" s="13" t="s">
        <v>33</v>
      </c>
      <c r="I239" s="13">
        <v>2</v>
      </c>
      <c r="J239" s="19">
        <v>59.99</v>
      </c>
      <c r="K239" s="13" t="s">
        <v>26</v>
      </c>
      <c r="L239" s="13" t="s">
        <v>50</v>
      </c>
      <c r="M239" s="13" t="s">
        <v>22</v>
      </c>
      <c r="N239" s="12">
        <v>45193</v>
      </c>
      <c r="O239" s="17">
        <v>119.98</v>
      </c>
    </row>
    <row r="240" spans="2:15" ht="15.75" customHeight="1" x14ac:dyDescent="0.3">
      <c r="B240" s="11" t="s">
        <v>381</v>
      </c>
      <c r="C240" s="12">
        <v>45737</v>
      </c>
      <c r="D240" s="13" t="s">
        <v>132</v>
      </c>
      <c r="E240" s="13" t="s">
        <v>133</v>
      </c>
      <c r="F240" s="13" t="s">
        <v>44</v>
      </c>
      <c r="G240" s="13" t="s">
        <v>45</v>
      </c>
      <c r="H240" s="13" t="s">
        <v>46</v>
      </c>
      <c r="I240" s="13">
        <v>2</v>
      </c>
      <c r="J240" s="19">
        <v>149.99</v>
      </c>
      <c r="K240" s="13" t="s">
        <v>20</v>
      </c>
      <c r="L240" s="13" t="s">
        <v>50</v>
      </c>
      <c r="M240" s="13" t="s">
        <v>27</v>
      </c>
      <c r="N240" s="12">
        <v>45233</v>
      </c>
      <c r="O240" s="17">
        <v>299.98</v>
      </c>
    </row>
    <row r="241" spans="2:15" ht="15.75" customHeight="1" x14ac:dyDescent="0.3">
      <c r="B241" s="11" t="s">
        <v>382</v>
      </c>
      <c r="C241" s="12">
        <v>45737</v>
      </c>
      <c r="D241" s="13" t="s">
        <v>150</v>
      </c>
      <c r="E241" s="13" t="s">
        <v>151</v>
      </c>
      <c r="F241" s="13" t="s">
        <v>61</v>
      </c>
      <c r="G241" s="13" t="s">
        <v>62</v>
      </c>
      <c r="H241" s="13" t="s">
        <v>19</v>
      </c>
      <c r="I241" s="13">
        <v>3</v>
      </c>
      <c r="J241" s="19">
        <v>899.99</v>
      </c>
      <c r="K241" s="13" t="s">
        <v>57</v>
      </c>
      <c r="L241" s="13" t="s">
        <v>40</v>
      </c>
      <c r="M241" s="13" t="s">
        <v>27</v>
      </c>
      <c r="N241" s="12">
        <v>44876</v>
      </c>
      <c r="O241" s="17">
        <v>2699.97</v>
      </c>
    </row>
    <row r="242" spans="2:15" ht="15.75" customHeight="1" x14ac:dyDescent="0.3">
      <c r="B242" s="11" t="s">
        <v>383</v>
      </c>
      <c r="C242" s="12">
        <v>45737</v>
      </c>
      <c r="D242" s="13" t="s">
        <v>48</v>
      </c>
      <c r="E242" s="13" t="s">
        <v>49</v>
      </c>
      <c r="F242" s="13" t="s">
        <v>61</v>
      </c>
      <c r="G242" s="13" t="s">
        <v>62</v>
      </c>
      <c r="H242" s="13" t="s">
        <v>19</v>
      </c>
      <c r="I242" s="13">
        <v>3</v>
      </c>
      <c r="J242" s="19">
        <v>899.99</v>
      </c>
      <c r="K242" s="13" t="s">
        <v>34</v>
      </c>
      <c r="L242" s="13" t="s">
        <v>40</v>
      </c>
      <c r="M242" s="13" t="s">
        <v>22</v>
      </c>
      <c r="N242" s="12">
        <v>44975</v>
      </c>
      <c r="O242" s="17">
        <v>2699.97</v>
      </c>
    </row>
    <row r="243" spans="2:15" ht="15.75" customHeight="1" x14ac:dyDescent="0.3">
      <c r="B243" s="11" t="s">
        <v>384</v>
      </c>
      <c r="C243" s="12">
        <v>45739</v>
      </c>
      <c r="D243" s="13" t="s">
        <v>15</v>
      </c>
      <c r="E243" s="13" t="s">
        <v>16</v>
      </c>
      <c r="F243" s="13" t="s">
        <v>105</v>
      </c>
      <c r="G243" s="13" t="s">
        <v>106</v>
      </c>
      <c r="H243" s="13" t="s">
        <v>46</v>
      </c>
      <c r="I243" s="13">
        <v>3</v>
      </c>
      <c r="J243" s="19">
        <v>299.99</v>
      </c>
      <c r="K243" s="13" t="s">
        <v>26</v>
      </c>
      <c r="L243" s="13" t="s">
        <v>50</v>
      </c>
      <c r="M243" s="13" t="s">
        <v>27</v>
      </c>
      <c r="N243" s="12">
        <v>45234</v>
      </c>
      <c r="O243" s="17">
        <v>899.97</v>
      </c>
    </row>
    <row r="244" spans="2:15" ht="15.75" customHeight="1" x14ac:dyDescent="0.3">
      <c r="B244" s="11" t="s">
        <v>385</v>
      </c>
      <c r="C244" s="12">
        <v>45740</v>
      </c>
      <c r="D244" s="13" t="s">
        <v>386</v>
      </c>
      <c r="E244" s="13" t="s">
        <v>387</v>
      </c>
      <c r="F244" s="13" t="s">
        <v>44</v>
      </c>
      <c r="G244" s="13" t="s">
        <v>45</v>
      </c>
      <c r="H244" s="13" t="s">
        <v>46</v>
      </c>
      <c r="I244" s="13">
        <v>4</v>
      </c>
      <c r="J244" s="19">
        <v>149.99</v>
      </c>
      <c r="K244" s="13" t="s">
        <v>34</v>
      </c>
      <c r="L244" s="13" t="s">
        <v>50</v>
      </c>
      <c r="M244" s="13" t="s">
        <v>36</v>
      </c>
      <c r="N244" s="12">
        <v>44560</v>
      </c>
      <c r="O244" s="17">
        <v>599.96</v>
      </c>
    </row>
    <row r="245" spans="2:15" ht="15.75" customHeight="1" x14ac:dyDescent="0.3">
      <c r="B245" s="11" t="s">
        <v>388</v>
      </c>
      <c r="C245" s="12">
        <v>45743</v>
      </c>
      <c r="D245" s="13" t="s">
        <v>102</v>
      </c>
      <c r="E245" s="13" t="s">
        <v>103</v>
      </c>
      <c r="F245" s="13" t="s">
        <v>114</v>
      </c>
      <c r="G245" s="13" t="s">
        <v>115</v>
      </c>
      <c r="H245" s="13" t="s">
        <v>33</v>
      </c>
      <c r="I245" s="13">
        <v>4</v>
      </c>
      <c r="J245" s="19">
        <v>79.989999999999995</v>
      </c>
      <c r="K245" s="13" t="s">
        <v>26</v>
      </c>
      <c r="L245" s="13" t="s">
        <v>21</v>
      </c>
      <c r="M245" s="13" t="s">
        <v>22</v>
      </c>
      <c r="N245" s="12">
        <v>45288</v>
      </c>
      <c r="O245" s="17">
        <v>319.95999999999998</v>
      </c>
    </row>
    <row r="246" spans="2:15" ht="15.75" customHeight="1" x14ac:dyDescent="0.3">
      <c r="B246" s="11" t="s">
        <v>389</v>
      </c>
      <c r="C246" s="12">
        <v>45745</v>
      </c>
      <c r="D246" s="13" t="s">
        <v>185</v>
      </c>
      <c r="E246" s="13" t="s">
        <v>186</v>
      </c>
      <c r="F246" s="13" t="s">
        <v>117</v>
      </c>
      <c r="G246" s="13" t="s">
        <v>118</v>
      </c>
      <c r="H246" s="13" t="s">
        <v>19</v>
      </c>
      <c r="I246" s="13">
        <v>5</v>
      </c>
      <c r="J246" s="19">
        <v>89.99</v>
      </c>
      <c r="K246" s="13" t="s">
        <v>34</v>
      </c>
      <c r="L246" s="13" t="s">
        <v>35</v>
      </c>
      <c r="M246" s="13" t="s">
        <v>22</v>
      </c>
      <c r="N246" s="12">
        <v>44704</v>
      </c>
      <c r="O246" s="17">
        <v>449.95</v>
      </c>
    </row>
    <row r="247" spans="2:15" ht="15.75" customHeight="1" x14ac:dyDescent="0.3">
      <c r="B247" s="11" t="s">
        <v>390</v>
      </c>
      <c r="C247" s="12">
        <v>45746</v>
      </c>
      <c r="D247" s="13" t="s">
        <v>93</v>
      </c>
      <c r="E247" s="13" t="s">
        <v>94</v>
      </c>
      <c r="F247" s="13" t="s">
        <v>44</v>
      </c>
      <c r="G247" s="13" t="s">
        <v>45</v>
      </c>
      <c r="H247" s="13" t="s">
        <v>46</v>
      </c>
      <c r="I247" s="13">
        <v>3</v>
      </c>
      <c r="J247" s="19">
        <v>149.99</v>
      </c>
      <c r="K247" s="13" t="s">
        <v>34</v>
      </c>
      <c r="L247" s="13" t="s">
        <v>21</v>
      </c>
      <c r="M247" s="13" t="s">
        <v>36</v>
      </c>
      <c r="N247" s="12">
        <v>45171</v>
      </c>
      <c r="O247" s="17">
        <v>449.97</v>
      </c>
    </row>
    <row r="248" spans="2:15" ht="15.75" customHeight="1" x14ac:dyDescent="0.3">
      <c r="B248" s="11" t="s">
        <v>391</v>
      </c>
      <c r="C248" s="12">
        <v>45746</v>
      </c>
      <c r="D248" s="13" t="s">
        <v>65</v>
      </c>
      <c r="E248" s="13" t="s">
        <v>66</v>
      </c>
      <c r="F248" s="13" t="s">
        <v>117</v>
      </c>
      <c r="G248" s="13" t="s">
        <v>118</v>
      </c>
      <c r="H248" s="13" t="s">
        <v>19</v>
      </c>
      <c r="I248" s="13">
        <v>2</v>
      </c>
      <c r="J248" s="19">
        <v>89.99</v>
      </c>
      <c r="K248" s="13" t="s">
        <v>57</v>
      </c>
      <c r="L248" s="13" t="s">
        <v>50</v>
      </c>
      <c r="M248" s="13" t="s">
        <v>27</v>
      </c>
      <c r="N248" s="12">
        <v>44522</v>
      </c>
      <c r="O248" s="17">
        <v>179.98</v>
      </c>
    </row>
    <row r="249" spans="2:15" ht="15.75" customHeight="1" x14ac:dyDescent="0.3">
      <c r="B249" s="11" t="s">
        <v>392</v>
      </c>
      <c r="C249" s="12">
        <v>45748</v>
      </c>
      <c r="D249" s="13" t="s">
        <v>102</v>
      </c>
      <c r="E249" s="13" t="s">
        <v>103</v>
      </c>
      <c r="F249" s="13" t="s">
        <v>80</v>
      </c>
      <c r="G249" s="13" t="s">
        <v>81</v>
      </c>
      <c r="H249" s="13" t="s">
        <v>19</v>
      </c>
      <c r="I249" s="13">
        <v>2</v>
      </c>
      <c r="J249" s="19">
        <v>699.99</v>
      </c>
      <c r="K249" s="13" t="s">
        <v>34</v>
      </c>
      <c r="L249" s="13" t="s">
        <v>40</v>
      </c>
      <c r="M249" s="13" t="s">
        <v>36</v>
      </c>
      <c r="N249" s="12">
        <v>44618</v>
      </c>
      <c r="O249" s="17">
        <v>1399.98</v>
      </c>
    </row>
    <row r="250" spans="2:15" ht="15.75" customHeight="1" x14ac:dyDescent="0.3">
      <c r="B250" s="11" t="s">
        <v>393</v>
      </c>
      <c r="C250" s="12">
        <v>45749</v>
      </c>
      <c r="D250" s="13" t="s">
        <v>123</v>
      </c>
      <c r="E250" s="13" t="s">
        <v>124</v>
      </c>
      <c r="F250" s="13" t="s">
        <v>61</v>
      </c>
      <c r="G250" s="13" t="s">
        <v>62</v>
      </c>
      <c r="H250" s="13" t="s">
        <v>19</v>
      </c>
      <c r="I250" s="13">
        <v>3</v>
      </c>
      <c r="J250" s="19">
        <v>899.99</v>
      </c>
      <c r="K250" s="13" t="s">
        <v>20</v>
      </c>
      <c r="L250" s="13" t="s">
        <v>21</v>
      </c>
      <c r="M250" s="13" t="s">
        <v>36</v>
      </c>
      <c r="N250" s="12">
        <v>44953</v>
      </c>
      <c r="O250" s="17">
        <v>2699.97</v>
      </c>
    </row>
    <row r="251" spans="2:15" ht="15.75" customHeight="1" x14ac:dyDescent="0.3">
      <c r="B251" s="11" t="s">
        <v>394</v>
      </c>
      <c r="C251" s="12">
        <v>45755</v>
      </c>
      <c r="D251" s="13" t="s">
        <v>93</v>
      </c>
      <c r="E251" s="13" t="s">
        <v>94</v>
      </c>
      <c r="F251" s="13" t="s">
        <v>114</v>
      </c>
      <c r="G251" s="13" t="s">
        <v>115</v>
      </c>
      <c r="H251" s="13" t="s">
        <v>33</v>
      </c>
      <c r="I251" s="13">
        <v>3</v>
      </c>
      <c r="J251" s="19">
        <v>79.989999999999995</v>
      </c>
      <c r="K251" s="13" t="s">
        <v>26</v>
      </c>
      <c r="L251" s="13" t="s">
        <v>40</v>
      </c>
      <c r="M251" s="13" t="s">
        <v>22</v>
      </c>
      <c r="N251" s="12">
        <v>44511</v>
      </c>
      <c r="O251" s="17">
        <v>239.97</v>
      </c>
    </row>
    <row r="252" spans="2:15" ht="15.75" customHeight="1" x14ac:dyDescent="0.3">
      <c r="B252" s="11" t="s">
        <v>395</v>
      </c>
      <c r="C252" s="12">
        <v>45756</v>
      </c>
      <c r="D252" s="13" t="s">
        <v>59</v>
      </c>
      <c r="E252" s="13" t="s">
        <v>60</v>
      </c>
      <c r="F252" s="13" t="s">
        <v>117</v>
      </c>
      <c r="G252" s="13" t="s">
        <v>118</v>
      </c>
      <c r="H252" s="13" t="s">
        <v>19</v>
      </c>
      <c r="I252" s="13">
        <v>1</v>
      </c>
      <c r="J252" s="19">
        <v>89.99</v>
      </c>
      <c r="K252" s="13" t="s">
        <v>57</v>
      </c>
      <c r="L252" s="13" t="s">
        <v>63</v>
      </c>
      <c r="M252" s="13" t="s">
        <v>22</v>
      </c>
      <c r="N252" s="12">
        <v>45346</v>
      </c>
      <c r="O252" s="17">
        <v>89.99</v>
      </c>
    </row>
    <row r="253" spans="2:15" ht="15.75" customHeight="1" x14ac:dyDescent="0.3">
      <c r="B253" s="11" t="s">
        <v>396</v>
      </c>
      <c r="C253" s="12">
        <v>45758</v>
      </c>
      <c r="D253" s="13" t="s">
        <v>293</v>
      </c>
      <c r="E253" s="13" t="s">
        <v>294</v>
      </c>
      <c r="F253" s="13" t="s">
        <v>80</v>
      </c>
      <c r="G253" s="13" t="s">
        <v>81</v>
      </c>
      <c r="H253" s="13" t="s">
        <v>19</v>
      </c>
      <c r="I253" s="13">
        <v>3</v>
      </c>
      <c r="J253" s="19">
        <v>699.99</v>
      </c>
      <c r="K253" s="13" t="s">
        <v>34</v>
      </c>
      <c r="L253" s="13" t="s">
        <v>40</v>
      </c>
      <c r="M253" s="13" t="s">
        <v>22</v>
      </c>
      <c r="N253" s="12">
        <v>44909</v>
      </c>
      <c r="O253" s="17">
        <v>2099.9699999999998</v>
      </c>
    </row>
    <row r="254" spans="2:15" ht="15.75" customHeight="1" x14ac:dyDescent="0.3">
      <c r="B254" s="11" t="s">
        <v>397</v>
      </c>
      <c r="C254" s="12">
        <v>45758</v>
      </c>
      <c r="D254" s="13" t="s">
        <v>226</v>
      </c>
      <c r="E254" s="13" t="s">
        <v>227</v>
      </c>
      <c r="F254" s="13" t="s">
        <v>117</v>
      </c>
      <c r="G254" s="13" t="s">
        <v>118</v>
      </c>
      <c r="H254" s="13" t="s">
        <v>19</v>
      </c>
      <c r="I254" s="13">
        <v>2</v>
      </c>
      <c r="J254" s="19">
        <v>89.99</v>
      </c>
      <c r="K254" s="13" t="s">
        <v>57</v>
      </c>
      <c r="L254" s="13" t="s">
        <v>63</v>
      </c>
      <c r="M254" s="13" t="s">
        <v>22</v>
      </c>
      <c r="N254" s="12">
        <v>45088</v>
      </c>
      <c r="O254" s="17">
        <v>179.98</v>
      </c>
    </row>
    <row r="255" spans="2:15" ht="15.75" customHeight="1" x14ac:dyDescent="0.3">
      <c r="B255" s="14" t="s">
        <v>398</v>
      </c>
      <c r="C255" s="15">
        <v>45758</v>
      </c>
      <c r="D255" s="16" t="s">
        <v>138</v>
      </c>
      <c r="E255" s="16" t="s">
        <v>139</v>
      </c>
      <c r="F255" s="16" t="s">
        <v>117</v>
      </c>
      <c r="G255" s="16" t="s">
        <v>118</v>
      </c>
      <c r="H255" s="16" t="s">
        <v>19</v>
      </c>
      <c r="I255" s="16">
        <v>3</v>
      </c>
      <c r="J255" s="20">
        <v>89.99</v>
      </c>
      <c r="K255" s="16" t="s">
        <v>57</v>
      </c>
      <c r="L255" s="16" t="s">
        <v>40</v>
      </c>
      <c r="M255" s="16" t="s">
        <v>27</v>
      </c>
      <c r="N255" s="15">
        <v>44878</v>
      </c>
      <c r="O255" s="18">
        <v>269.97000000000003</v>
      </c>
    </row>
    <row r="256" spans="2:15"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sheetData>
  <sheetProtection selectLockedCells="1" selectUnlockedCells="1"/>
  <mergeCells count="1">
    <mergeCell ref="B2:O3"/>
  </mergeCells>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BDB96-C1C7-4E1D-9092-1A8D99246807}">
  <sheetPr>
    <tabColor theme="7" tint="-0.249977111117893"/>
  </sheetPr>
  <dimension ref="B2:N26"/>
  <sheetViews>
    <sheetView zoomScaleNormal="100" workbookViewId="0">
      <selection activeCell="D2" sqref="D2:N3"/>
    </sheetView>
  </sheetViews>
  <sheetFormatPr defaultRowHeight="14.4" x14ac:dyDescent="0.3"/>
  <cols>
    <col min="1" max="1" width="4.88671875" customWidth="1"/>
    <col min="2" max="2" width="8.6640625" style="63" customWidth="1"/>
    <col min="3" max="3" width="4.88671875" customWidth="1"/>
    <col min="4" max="4" width="12.88671875" bestFit="1" customWidth="1"/>
    <col min="5" max="5" width="13.21875" bestFit="1" customWidth="1"/>
    <col min="7" max="7" width="15.6640625" bestFit="1" customWidth="1"/>
    <col min="8" max="8" width="13.21875" bestFit="1" customWidth="1"/>
    <col min="10" max="10" width="19.109375" bestFit="1" customWidth="1"/>
    <col min="11" max="11" width="12.77734375" bestFit="1" customWidth="1"/>
    <col min="12" max="12" width="9.5546875" customWidth="1"/>
    <col min="13" max="13" width="12.88671875" bestFit="1" customWidth="1"/>
    <col min="14" max="14" width="10.33203125" bestFit="1" customWidth="1"/>
    <col min="16" max="16" width="10.77734375" bestFit="1" customWidth="1"/>
    <col min="17" max="17" width="13.21875" bestFit="1" customWidth="1"/>
  </cols>
  <sheetData>
    <row r="2" spans="4:14" ht="14.4" customHeight="1" x14ac:dyDescent="0.3">
      <c r="D2" s="40" t="s">
        <v>586</v>
      </c>
      <c r="E2" s="40"/>
      <c r="F2" s="40"/>
      <c r="G2" s="40"/>
      <c r="H2" s="40"/>
      <c r="I2" s="40"/>
      <c r="J2" s="40"/>
      <c r="K2" s="40"/>
      <c r="L2" s="40"/>
      <c r="M2" s="40"/>
      <c r="N2" s="40"/>
    </row>
    <row r="3" spans="4:14" ht="14.4" customHeight="1" x14ac:dyDescent="0.3">
      <c r="D3" s="40"/>
      <c r="E3" s="40"/>
      <c r="F3" s="40"/>
      <c r="G3" s="40"/>
      <c r="H3" s="40"/>
      <c r="I3" s="40"/>
      <c r="J3" s="40"/>
      <c r="K3" s="40"/>
      <c r="L3" s="40"/>
      <c r="M3" s="40"/>
      <c r="N3" s="40"/>
    </row>
    <row r="6" spans="4:14" x14ac:dyDescent="0.3">
      <c r="D6" s="41" t="s">
        <v>472</v>
      </c>
      <c r="E6" s="51"/>
      <c r="G6" s="41" t="s">
        <v>497</v>
      </c>
      <c r="H6" s="41"/>
      <c r="J6" s="41" t="s">
        <v>492</v>
      </c>
      <c r="K6" s="41"/>
      <c r="M6" s="41" t="s">
        <v>494</v>
      </c>
      <c r="N6" s="41"/>
    </row>
    <row r="7" spans="4:14" x14ac:dyDescent="0.3">
      <c r="D7" s="22" t="s">
        <v>10</v>
      </c>
      <c r="E7" s="22" t="s">
        <v>407</v>
      </c>
      <c r="G7" s="26" t="s">
        <v>486</v>
      </c>
      <c r="H7" s="26" t="s">
        <v>407</v>
      </c>
      <c r="J7" s="22" t="s">
        <v>414</v>
      </c>
      <c r="K7" s="22" t="s">
        <v>493</v>
      </c>
      <c r="M7" s="22" t="s">
        <v>488</v>
      </c>
      <c r="N7" s="22" t="s">
        <v>495</v>
      </c>
    </row>
    <row r="8" spans="4:14" x14ac:dyDescent="0.3">
      <c r="D8" s="27" t="s">
        <v>21</v>
      </c>
      <c r="E8" s="28">
        <v>41288.340000000018</v>
      </c>
      <c r="G8" s="27" t="s">
        <v>474</v>
      </c>
      <c r="H8" s="28">
        <v>25799.15</v>
      </c>
      <c r="J8" s="27" t="s">
        <v>87</v>
      </c>
      <c r="K8" s="28">
        <v>15659.65</v>
      </c>
      <c r="M8" s="27" t="s">
        <v>45</v>
      </c>
      <c r="N8" s="27">
        <v>102</v>
      </c>
    </row>
    <row r="9" spans="4:14" x14ac:dyDescent="0.3">
      <c r="D9" s="27" t="s">
        <v>63</v>
      </c>
      <c r="E9" s="28">
        <v>59288.389999999992</v>
      </c>
      <c r="G9" s="27" t="s">
        <v>475</v>
      </c>
      <c r="H9" s="28">
        <v>16069.379999999997</v>
      </c>
      <c r="J9" s="27" t="s">
        <v>124</v>
      </c>
      <c r="K9" s="28">
        <v>11919.769999999999</v>
      </c>
      <c r="M9" s="27" t="s">
        <v>81</v>
      </c>
      <c r="N9" s="27">
        <v>96</v>
      </c>
    </row>
    <row r="10" spans="4:14" x14ac:dyDescent="0.3">
      <c r="D10" s="27" t="s">
        <v>40</v>
      </c>
      <c r="E10" s="28">
        <v>50808.310000000012</v>
      </c>
      <c r="G10" s="27" t="s">
        <v>476</v>
      </c>
      <c r="H10" s="28">
        <v>19899.379999999997</v>
      </c>
      <c r="J10" s="27" t="s">
        <v>97</v>
      </c>
      <c r="K10" s="28">
        <v>10649.8</v>
      </c>
      <c r="M10" s="27" t="s">
        <v>118</v>
      </c>
      <c r="N10" s="27">
        <v>89</v>
      </c>
    </row>
    <row r="11" spans="4:14" x14ac:dyDescent="0.3">
      <c r="D11" s="27" t="s">
        <v>35</v>
      </c>
      <c r="E11" s="28">
        <v>36398.750000000007</v>
      </c>
      <c r="G11" s="27" t="s">
        <v>477</v>
      </c>
      <c r="H11" s="28">
        <v>27899.160000000007</v>
      </c>
      <c r="J11" s="27" t="s">
        <v>100</v>
      </c>
      <c r="K11" s="28">
        <v>9799.73</v>
      </c>
      <c r="M11" s="27" t="s">
        <v>18</v>
      </c>
      <c r="N11" s="27">
        <v>88</v>
      </c>
    </row>
    <row r="12" spans="4:14" x14ac:dyDescent="0.3">
      <c r="D12" s="27" t="s">
        <v>50</v>
      </c>
      <c r="E12" s="28">
        <v>41408.680000000015</v>
      </c>
      <c r="G12" s="27" t="s">
        <v>478</v>
      </c>
      <c r="H12" s="28">
        <v>17039.349999999999</v>
      </c>
      <c r="J12" s="27" t="s">
        <v>16</v>
      </c>
      <c r="K12" s="28">
        <v>8309.739999999998</v>
      </c>
      <c r="M12" s="27" t="s">
        <v>32</v>
      </c>
      <c r="N12" s="27">
        <v>87</v>
      </c>
    </row>
    <row r="13" spans="4:14" x14ac:dyDescent="0.3">
      <c r="G13" s="27" t="s">
        <v>479</v>
      </c>
      <c r="H13" s="28">
        <v>19299.45</v>
      </c>
      <c r="J13" s="27" t="s">
        <v>49</v>
      </c>
      <c r="K13" s="28">
        <v>8269.7900000000009</v>
      </c>
      <c r="M13" s="27" t="s">
        <v>106</v>
      </c>
      <c r="N13" s="27">
        <v>78</v>
      </c>
    </row>
    <row r="14" spans="4:14" x14ac:dyDescent="0.3">
      <c r="G14" s="27" t="s">
        <v>480</v>
      </c>
      <c r="H14" s="28">
        <v>18479.399999999994</v>
      </c>
      <c r="J14" s="27" t="s">
        <v>66</v>
      </c>
      <c r="K14" s="28">
        <v>8009.7699999999995</v>
      </c>
      <c r="M14" s="27" t="s">
        <v>62</v>
      </c>
      <c r="N14" s="27">
        <v>75</v>
      </c>
    </row>
    <row r="15" spans="4:14" x14ac:dyDescent="0.3">
      <c r="D15" s="41" t="s">
        <v>487</v>
      </c>
      <c r="E15" s="41"/>
      <c r="G15" s="27" t="s">
        <v>481</v>
      </c>
      <c r="H15" s="28">
        <v>15759.429999999997</v>
      </c>
      <c r="J15" s="27" t="s">
        <v>148</v>
      </c>
      <c r="K15" s="28">
        <v>7309.7999999999993</v>
      </c>
      <c r="M15" s="27" t="s">
        <v>127</v>
      </c>
      <c r="N15" s="27">
        <v>52</v>
      </c>
    </row>
    <row r="16" spans="4:14" x14ac:dyDescent="0.3">
      <c r="D16" s="22" t="s">
        <v>488</v>
      </c>
      <c r="E16" s="22" t="s">
        <v>407</v>
      </c>
      <c r="G16" s="27" t="s">
        <v>482</v>
      </c>
      <c r="H16" s="28">
        <v>12989.509999999997</v>
      </c>
      <c r="J16" s="27" t="s">
        <v>227</v>
      </c>
      <c r="K16" s="28">
        <v>6989.7699999999986</v>
      </c>
      <c r="M16" s="27" t="s">
        <v>53</v>
      </c>
      <c r="N16" s="27">
        <v>47</v>
      </c>
    </row>
    <row r="17" spans="4:14" x14ac:dyDescent="0.3">
      <c r="D17" s="27" t="s">
        <v>62</v>
      </c>
      <c r="E17" s="28">
        <v>67499.25</v>
      </c>
      <c r="G17" s="27" t="s">
        <v>483</v>
      </c>
      <c r="H17" s="28">
        <v>20609.52</v>
      </c>
      <c r="J17" s="27" t="s">
        <v>25</v>
      </c>
      <c r="K17" s="28">
        <v>6949.84</v>
      </c>
      <c r="M17" s="27" t="s">
        <v>115</v>
      </c>
      <c r="N17" s="27">
        <v>39</v>
      </c>
    </row>
    <row r="18" spans="4:14" x14ac:dyDescent="0.3">
      <c r="D18" s="27" t="s">
        <v>81</v>
      </c>
      <c r="E18" s="28">
        <v>67199.039999999994</v>
      </c>
      <c r="G18" s="27" t="s">
        <v>484</v>
      </c>
      <c r="H18" s="28">
        <v>12309.439999999999</v>
      </c>
    </row>
    <row r="19" spans="4:14" x14ac:dyDescent="0.3">
      <c r="D19" s="27" t="s">
        <v>106</v>
      </c>
      <c r="E19" s="28">
        <v>23399.22</v>
      </c>
      <c r="G19" s="27" t="s">
        <v>485</v>
      </c>
      <c r="H19" s="28">
        <v>23039.3</v>
      </c>
    </row>
    <row r="20" spans="4:14" x14ac:dyDescent="0.3">
      <c r="D20" s="27" t="s">
        <v>18</v>
      </c>
      <c r="E20" s="28">
        <v>21999.119999999999</v>
      </c>
      <c r="J20" s="41" t="s">
        <v>489</v>
      </c>
      <c r="K20" s="41"/>
      <c r="M20" s="41" t="s">
        <v>496</v>
      </c>
      <c r="N20" s="41"/>
    </row>
    <row r="21" spans="4:14" x14ac:dyDescent="0.3">
      <c r="D21" s="27" t="s">
        <v>45</v>
      </c>
      <c r="E21" s="28">
        <v>15298.979999999994</v>
      </c>
      <c r="J21" s="22" t="s">
        <v>491</v>
      </c>
      <c r="K21" s="22" t="s">
        <v>490</v>
      </c>
      <c r="M21" s="22" t="s">
        <v>6</v>
      </c>
      <c r="N21" s="22" t="s">
        <v>495</v>
      </c>
    </row>
    <row r="22" spans="4:14" x14ac:dyDescent="0.3">
      <c r="D22" s="27" t="s">
        <v>127</v>
      </c>
      <c r="E22" s="28">
        <v>10399.479999999998</v>
      </c>
      <c r="G22" s="41" t="s">
        <v>473</v>
      </c>
      <c r="H22" s="51"/>
      <c r="J22" s="27" t="s">
        <v>22</v>
      </c>
      <c r="K22" s="28">
        <v>840.2406756756759</v>
      </c>
      <c r="M22" s="27" t="s">
        <v>33</v>
      </c>
      <c r="N22" s="27">
        <v>126</v>
      </c>
    </row>
    <row r="23" spans="4:14" x14ac:dyDescent="0.3">
      <c r="D23" s="27" t="s">
        <v>118</v>
      </c>
      <c r="E23" s="28">
        <v>8009.1099999999969</v>
      </c>
      <c r="G23" s="22" t="s">
        <v>6</v>
      </c>
      <c r="H23" s="26" t="s">
        <v>407</v>
      </c>
      <c r="J23" s="27" t="s">
        <v>27</v>
      </c>
      <c r="K23" s="28">
        <v>891.12757894736853</v>
      </c>
      <c r="M23" s="27" t="s">
        <v>19</v>
      </c>
      <c r="N23" s="27">
        <v>395</v>
      </c>
    </row>
    <row r="24" spans="4:14" x14ac:dyDescent="0.3">
      <c r="D24" s="27" t="s">
        <v>53</v>
      </c>
      <c r="E24" s="28">
        <v>7049.5299999999988</v>
      </c>
      <c r="G24" s="27" t="s">
        <v>33</v>
      </c>
      <c r="H24" s="28">
        <v>8338.7399999999961</v>
      </c>
      <c r="J24" s="27" t="s">
        <v>36</v>
      </c>
      <c r="K24" s="28">
        <v>1016.7597530864202</v>
      </c>
      <c r="M24" s="27" t="s">
        <v>46</v>
      </c>
      <c r="N24" s="27">
        <v>232</v>
      </c>
    </row>
    <row r="25" spans="4:14" x14ac:dyDescent="0.3">
      <c r="D25" s="27" t="s">
        <v>32</v>
      </c>
      <c r="E25" s="28">
        <v>5219.1299999999974</v>
      </c>
      <c r="G25" s="27" t="s">
        <v>19</v>
      </c>
      <c r="H25" s="28">
        <v>171756.05000000013</v>
      </c>
    </row>
    <row r="26" spans="4:14" x14ac:dyDescent="0.3">
      <c r="D26" s="27" t="s">
        <v>115</v>
      </c>
      <c r="E26" s="28">
        <v>3119.6099999999992</v>
      </c>
      <c r="G26" s="27" t="s">
        <v>46</v>
      </c>
      <c r="H26" s="28">
        <v>49097.680000000015</v>
      </c>
    </row>
  </sheetData>
  <sheetProtection selectLockedCells="1" selectUnlockedCells="1"/>
  <mergeCells count="9">
    <mergeCell ref="D2:N3"/>
    <mergeCell ref="D6:E6"/>
    <mergeCell ref="G22:H22"/>
    <mergeCell ref="G6:H6"/>
    <mergeCell ref="D15:E15"/>
    <mergeCell ref="J20:K20"/>
    <mergeCell ref="J6:K6"/>
    <mergeCell ref="M6:N6"/>
    <mergeCell ref="M20:N20"/>
  </mergeCells>
  <pageMargins left="0.7" right="0.7" top="0.75" bottom="0.75" header="0.3" footer="0.3"/>
  <pageSetup orientation="portrait" r:id="rId9"/>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81EBF-EDBC-4500-B743-C0020BEFFD57}">
  <sheetPr>
    <tabColor theme="7" tint="-0.249977111117893"/>
  </sheetPr>
  <dimension ref="B2:S403"/>
  <sheetViews>
    <sheetView zoomScale="95" zoomScaleNormal="95" workbookViewId="0">
      <selection activeCell="D2" sqref="D2:M3"/>
    </sheetView>
  </sheetViews>
  <sheetFormatPr defaultRowHeight="14.4" x14ac:dyDescent="0.3"/>
  <cols>
    <col min="1" max="1" width="4.6640625" style="2" customWidth="1"/>
    <col min="2" max="2" width="8.6640625" style="63" customWidth="1"/>
    <col min="3" max="3" width="4.77734375" style="2" customWidth="1"/>
    <col min="4" max="4" width="20.5546875" style="2" customWidth="1"/>
    <col min="5" max="5" width="20.44140625" style="2" customWidth="1"/>
    <col min="6" max="6" width="14" style="2" customWidth="1"/>
    <col min="7" max="7" width="14.33203125" style="2" customWidth="1"/>
    <col min="8" max="8" width="11.6640625" style="2" customWidth="1"/>
    <col min="9" max="9" width="13.44140625" style="2" customWidth="1"/>
    <col min="10" max="10" width="12" style="2" customWidth="1"/>
    <col min="11" max="11" width="19" style="2" customWidth="1"/>
    <col min="12" max="12" width="14.5546875" style="2" customWidth="1"/>
    <col min="13" max="13" width="17.6640625" style="2" customWidth="1"/>
    <col min="14" max="16384" width="8.88671875" style="2"/>
  </cols>
  <sheetData>
    <row r="2" spans="4:17" x14ac:dyDescent="0.3">
      <c r="D2" s="40" t="s">
        <v>587</v>
      </c>
      <c r="E2" s="40"/>
      <c r="F2" s="40"/>
      <c r="G2" s="40"/>
      <c r="H2" s="40"/>
      <c r="I2" s="40"/>
      <c r="J2" s="40"/>
      <c r="K2" s="40"/>
      <c r="L2" s="40"/>
      <c r="M2" s="40"/>
      <c r="N2"/>
      <c r="O2"/>
      <c r="P2"/>
      <c r="Q2"/>
    </row>
    <row r="3" spans="4:17" x14ac:dyDescent="0.3">
      <c r="D3" s="40"/>
      <c r="E3" s="40"/>
      <c r="F3" s="40"/>
      <c r="G3" s="40"/>
      <c r="H3" s="40"/>
      <c r="I3" s="40"/>
      <c r="J3" s="40"/>
      <c r="K3" s="40"/>
      <c r="L3" s="40"/>
      <c r="M3" s="40"/>
      <c r="N3"/>
      <c r="O3"/>
      <c r="P3"/>
      <c r="Q3"/>
    </row>
    <row r="5" spans="4:17" x14ac:dyDescent="0.3">
      <c r="D5" s="41" t="s">
        <v>399</v>
      </c>
      <c r="E5" s="41"/>
      <c r="F5" s="41"/>
      <c r="G5" s="41"/>
      <c r="I5" s="53" t="s">
        <v>406</v>
      </c>
      <c r="J5" s="54"/>
      <c r="K5" s="54"/>
      <c r="L5" s="55"/>
      <c r="M5"/>
      <c r="N5"/>
    </row>
    <row r="6" spans="4:17" x14ac:dyDescent="0.3">
      <c r="D6" s="56" t="s">
        <v>400</v>
      </c>
      <c r="E6" s="56"/>
      <c r="F6" s="64">
        <f ca="1">TODAY()</f>
        <v>46165</v>
      </c>
      <c r="G6" s="65"/>
      <c r="I6" s="52" t="s">
        <v>407</v>
      </c>
      <c r="J6" s="52"/>
      <c r="K6" s="68">
        <f>SUM(Row_Data[Total_Amount])</f>
        <v>229192.47000000032</v>
      </c>
      <c r="L6" s="68"/>
    </row>
    <row r="7" spans="4:17" x14ac:dyDescent="0.3">
      <c r="D7" s="52" t="s">
        <v>401</v>
      </c>
      <c r="E7" s="56"/>
      <c r="F7" s="66">
        <f ca="1">NOW()</f>
        <v>46165.926733101849</v>
      </c>
      <c r="G7" s="66"/>
      <c r="I7" s="52" t="s">
        <v>408</v>
      </c>
      <c r="J7" s="52"/>
      <c r="K7" s="65">
        <f>SUM(Row_Data[Quantity])</f>
        <v>753</v>
      </c>
      <c r="L7" s="65"/>
    </row>
    <row r="8" spans="4:17" x14ac:dyDescent="0.3">
      <c r="D8" s="52" t="s">
        <v>402</v>
      </c>
      <c r="E8" s="56"/>
      <c r="F8" s="65">
        <f>DATEDIF(MIN(Row_Data[Date]),MAX(Row_Data[Date]),"D")</f>
        <v>365</v>
      </c>
      <c r="G8" s="65"/>
      <c r="I8" s="52" t="s">
        <v>409</v>
      </c>
      <c r="J8" s="52"/>
      <c r="K8" s="65">
        <f>COUNTA(Row_Data[Transaction_ID])</f>
        <v>250</v>
      </c>
      <c r="L8" s="65"/>
    </row>
    <row r="9" spans="4:17" x14ac:dyDescent="0.3">
      <c r="D9" s="52" t="s">
        <v>403</v>
      </c>
      <c r="E9" s="56"/>
      <c r="F9" s="65">
        <f>DATEDIF(MIN(Row_Data[Date]),MAX(Row_Data[Date]),"M")</f>
        <v>12</v>
      </c>
      <c r="G9" s="65"/>
      <c r="I9" s="52" t="s">
        <v>410</v>
      </c>
      <c r="J9" s="52"/>
      <c r="K9" s="68">
        <f>AVERAGE(Row_Data[Total_Amount])</f>
        <v>916.76988000000131</v>
      </c>
      <c r="L9" s="68"/>
    </row>
    <row r="10" spans="4:17" x14ac:dyDescent="0.3">
      <c r="D10" s="52" t="s">
        <v>404</v>
      </c>
      <c r="E10" s="56"/>
      <c r="F10" s="67">
        <f ca="1">EOMONTH(TODAY(), 0)</f>
        <v>46173</v>
      </c>
      <c r="G10" s="67"/>
      <c r="I10" s="52" t="s">
        <v>411</v>
      </c>
      <c r="J10" s="52"/>
      <c r="K10" s="68">
        <f>MAX(Row_Data[Total_Amount])</f>
        <v>4499.95</v>
      </c>
      <c r="L10" s="68"/>
    </row>
    <row r="11" spans="4:17" x14ac:dyDescent="0.3">
      <c r="D11" s="52" t="s">
        <v>405</v>
      </c>
      <c r="E11" s="56"/>
      <c r="F11" s="67">
        <f ca="1">EOMONTH(TODAY(), 1)</f>
        <v>46203</v>
      </c>
      <c r="G11" s="67"/>
      <c r="I11" s="52" t="s">
        <v>412</v>
      </c>
      <c r="J11" s="52"/>
      <c r="K11" s="68">
        <f>MIN(Row_Data[Total_Amount])</f>
        <v>59.99</v>
      </c>
      <c r="L11" s="68"/>
    </row>
    <row r="14" spans="4:17" ht="33.6" customHeight="1" x14ac:dyDescent="0.3">
      <c r="D14" s="24" t="s">
        <v>413</v>
      </c>
      <c r="E14" s="24" t="s">
        <v>414</v>
      </c>
      <c r="F14" s="24" t="s">
        <v>415</v>
      </c>
      <c r="G14" s="24" t="s">
        <v>416</v>
      </c>
      <c r="H14" s="24" t="s">
        <v>407</v>
      </c>
      <c r="I14" s="24" t="s">
        <v>417</v>
      </c>
      <c r="J14" s="24" t="s">
        <v>418</v>
      </c>
      <c r="K14" s="24" t="s">
        <v>419</v>
      </c>
      <c r="L14" s="24" t="s">
        <v>420</v>
      </c>
    </row>
    <row r="15" spans="4:17" x14ac:dyDescent="0.3">
      <c r="D15" s="69">
        <v>1</v>
      </c>
      <c r="E15" s="70" t="str" cm="1">
        <f t="array" ref="E15:E64">_xlfn._xlws.SORT(_xlfn.UNIQUE(Row_Data[Customer_Name]))</f>
        <v>Arthur Edwards</v>
      </c>
      <c r="F15" s="69" t="str">
        <f>_xlfn.XLOOKUP(E15,Row_Data[Customer_Name],Row_Data[Customer_ID],"Not Found")</f>
        <v>CUST037</v>
      </c>
      <c r="G15" s="69" t="str">
        <f>_xlfn.XLOOKUP(E15,Row_Data[Customer_Name],Row_Data[Customer_Segment],"Not Found")</f>
        <v>Standard</v>
      </c>
      <c r="H15" s="71">
        <f>SUMIF(Row_Data[Customer_Name], E15, Row_Data[Total_Amount])</f>
        <v>1559.94</v>
      </c>
      <c r="I15" s="72">
        <f>COUNTIF(Row_Data[Customer_Name], E15)</f>
        <v>3</v>
      </c>
      <c r="J15" s="71">
        <f t="shared" ref="J15:J46" si="0">$H15/$I15</f>
        <v>519.98</v>
      </c>
      <c r="K15" s="73" t="str">
        <f t="shared" ref="K15:K64" si="1">LEFT(E15,1)&amp;MID(E15,FIND(" ",E15)+1,1)</f>
        <v>AE</v>
      </c>
      <c r="L15" s="69" t="str">
        <f t="shared" ref="L15:L46" si="2">IF($H15&gt;3000,"⭐ High Value","Standard")</f>
        <v>Standard</v>
      </c>
    </row>
    <row r="16" spans="4:17" ht="18" customHeight="1" x14ac:dyDescent="0.3">
      <c r="D16" s="69">
        <v>2</v>
      </c>
      <c r="E16" s="70" t="str">
        <v>Barbara Young</v>
      </c>
      <c r="F16" s="69" t="str">
        <f>_xlfn.XLOOKUP(E16,Row_Data[Customer_Name],Row_Data[Customer_ID],"Not Found")</f>
        <v>CUST018</v>
      </c>
      <c r="G16" s="69" t="str">
        <f>_xlfn.XLOOKUP(E16,Row_Data[Customer_Name],Row_Data[Customer_Segment],"Not Found")</f>
        <v>Basic</v>
      </c>
      <c r="H16" s="71">
        <f>SUMIF(Row_Data[Customer_Name], E16, Row_Data[Total_Amount])</f>
        <v>10649.8</v>
      </c>
      <c r="I16" s="72">
        <f>COUNTIF(Row_Data[Customer_Name], E16)</f>
        <v>5</v>
      </c>
      <c r="J16" s="71">
        <f t="shared" si="0"/>
        <v>2129.96</v>
      </c>
      <c r="K16" s="73" t="str">
        <f t="shared" si="1"/>
        <v>BY</v>
      </c>
      <c r="L16" s="69" t="str">
        <f t="shared" si="2"/>
        <v>⭐ High Value</v>
      </c>
    </row>
    <row r="17" spans="4:12" ht="16.8" customHeight="1" x14ac:dyDescent="0.3">
      <c r="D17" s="69">
        <v>3</v>
      </c>
      <c r="E17" s="70" t="str">
        <v>Betty Campbell</v>
      </c>
      <c r="F17" s="69" t="str">
        <f>_xlfn.XLOOKUP(E17,Row_Data[Customer_Name],Row_Data[Customer_ID],"Not Found")</f>
        <v>CUST028</v>
      </c>
      <c r="G17" s="69" t="str">
        <f>_xlfn.XLOOKUP(E17,Row_Data[Customer_Name],Row_Data[Customer_Segment],"Not Found")</f>
        <v>Standard</v>
      </c>
      <c r="H17" s="71">
        <f>SUMIF(Row_Data[Customer_Name], E17, Row_Data[Total_Amount])</f>
        <v>5649.84</v>
      </c>
      <c r="I17" s="72">
        <f>COUNTIF(Row_Data[Customer_Name], E17)</f>
        <v>5</v>
      </c>
      <c r="J17" s="71">
        <f t="shared" si="0"/>
        <v>1129.9680000000001</v>
      </c>
      <c r="K17" s="73" t="str">
        <f t="shared" si="1"/>
        <v>BC</v>
      </c>
      <c r="L17" s="69" t="str">
        <f t="shared" si="2"/>
        <v>⭐ High Value</v>
      </c>
    </row>
    <row r="18" spans="4:12" x14ac:dyDescent="0.3">
      <c r="D18" s="69">
        <v>4</v>
      </c>
      <c r="E18" s="70" t="str">
        <v>Carol Evans</v>
      </c>
      <c r="F18" s="69" t="str">
        <f>_xlfn.XLOOKUP(E18,Row_Data[Customer_Name],Row_Data[Customer_ID],"Not Found")</f>
        <v>CUST034</v>
      </c>
      <c r="G18" s="69" t="str">
        <f>_xlfn.XLOOKUP(E18,Row_Data[Customer_Name],Row_Data[Customer_Segment],"Not Found")</f>
        <v>Premium</v>
      </c>
      <c r="H18" s="71">
        <f>SUMIF(Row_Data[Customer_Name], E18, Row_Data[Total_Amount])</f>
        <v>1149.93</v>
      </c>
      <c r="I18" s="72">
        <f>COUNTIF(Row_Data[Customer_Name], E18)</f>
        <v>3</v>
      </c>
      <c r="J18" s="71">
        <f t="shared" si="0"/>
        <v>383.31</v>
      </c>
      <c r="K18" s="73" t="str">
        <f t="shared" si="1"/>
        <v>CE</v>
      </c>
      <c r="L18" s="69" t="str">
        <f t="shared" si="2"/>
        <v>Standard</v>
      </c>
    </row>
    <row r="19" spans="4:12" ht="16.8" customHeight="1" x14ac:dyDescent="0.3">
      <c r="D19" s="69">
        <v>5</v>
      </c>
      <c r="E19" s="70" t="str">
        <v>Charles Allen</v>
      </c>
      <c r="F19" s="69" t="str">
        <f>_xlfn.XLOOKUP(E19,Row_Data[Customer_Name],Row_Data[Customer_ID],"Not Found")</f>
        <v>CUST017</v>
      </c>
      <c r="G19" s="69" t="str">
        <f>_xlfn.XLOOKUP(E19,Row_Data[Customer_Name],Row_Data[Customer_Segment],"Not Found")</f>
        <v>Basic</v>
      </c>
      <c r="H19" s="71">
        <f>SUMIF(Row_Data[Customer_Name], E19, Row_Data[Total_Amount])</f>
        <v>5089.7300000000005</v>
      </c>
      <c r="I19" s="72">
        <f>COUNTIF(Row_Data[Customer_Name], E19)</f>
        <v>9</v>
      </c>
      <c r="J19" s="71">
        <f t="shared" si="0"/>
        <v>565.52555555555557</v>
      </c>
      <c r="K19" s="73" t="str">
        <f t="shared" si="1"/>
        <v>CA</v>
      </c>
      <c r="L19" s="69" t="str">
        <f t="shared" si="2"/>
        <v>⭐ High Value</v>
      </c>
    </row>
    <row r="20" spans="4:12" ht="17.399999999999999" customHeight="1" x14ac:dyDescent="0.3">
      <c r="D20" s="69">
        <v>6</v>
      </c>
      <c r="E20" s="70" t="str">
        <v>Cynthia Price</v>
      </c>
      <c r="F20" s="69" t="str">
        <f>_xlfn.XLOOKUP(E20,Row_Data[Customer_Name],Row_Data[Customer_ID],"Not Found")</f>
        <v>CUST044</v>
      </c>
      <c r="G20" s="69" t="str">
        <f>_xlfn.XLOOKUP(E20,Row_Data[Customer_Name],Row_Data[Customer_Segment],"Not Found")</f>
        <v>Standard</v>
      </c>
      <c r="H20" s="71">
        <f>SUMIF(Row_Data[Customer_Name], E20, Row_Data[Total_Amount])</f>
        <v>3769.8300000000004</v>
      </c>
      <c r="I20" s="72">
        <f>COUNTIF(Row_Data[Customer_Name], E20)</f>
        <v>5</v>
      </c>
      <c r="J20" s="71">
        <f t="shared" si="0"/>
        <v>753.96600000000012</v>
      </c>
      <c r="K20" s="73" t="str">
        <f t="shared" si="1"/>
        <v>CP</v>
      </c>
      <c r="L20" s="69" t="str">
        <f t="shared" si="2"/>
        <v>⭐ High Value</v>
      </c>
    </row>
    <row r="21" spans="4:12" ht="17.399999999999999" customHeight="1" x14ac:dyDescent="0.3">
      <c r="D21" s="69">
        <v>7</v>
      </c>
      <c r="E21" s="70" t="str">
        <v>Daniel King</v>
      </c>
      <c r="F21" s="69" t="str">
        <f>_xlfn.XLOOKUP(E21,Row_Data[Customer_Name],Row_Data[Customer_ID],"Not Found")</f>
        <v>CUST019</v>
      </c>
      <c r="G21" s="69" t="str">
        <f>_xlfn.XLOOKUP(E21,Row_Data[Customer_Name],Row_Data[Customer_Segment],"Not Found")</f>
        <v>Standard</v>
      </c>
      <c r="H21" s="71">
        <f>SUMIF(Row_Data[Customer_Name], E21, Row_Data[Total_Amount])</f>
        <v>7309.7999999999993</v>
      </c>
      <c r="I21" s="72">
        <f>COUNTIF(Row_Data[Customer_Name], E21)</f>
        <v>7</v>
      </c>
      <c r="J21" s="71">
        <f t="shared" si="0"/>
        <v>1044.2571428571428</v>
      </c>
      <c r="K21" s="73" t="str">
        <f t="shared" si="1"/>
        <v>DK</v>
      </c>
      <c r="L21" s="69" t="str">
        <f t="shared" si="2"/>
        <v>⭐ High Value</v>
      </c>
    </row>
    <row r="22" spans="4:12" x14ac:dyDescent="0.3">
      <c r="D22" s="69">
        <v>8</v>
      </c>
      <c r="E22" s="70" t="str">
        <v>David Martinez</v>
      </c>
      <c r="F22" s="69" t="str">
        <f>_xlfn.XLOOKUP(E22,Row_Data[Customer_Name],Row_Data[Customer_ID],"Not Found")</f>
        <v>CUST007</v>
      </c>
      <c r="G22" s="69" t="str">
        <f>_xlfn.XLOOKUP(E22,Row_Data[Customer_Name],Row_Data[Customer_Segment],"Not Found")</f>
        <v>Basic</v>
      </c>
      <c r="H22" s="71">
        <f>SUMIF(Row_Data[Customer_Name], E22, Row_Data[Total_Amount])</f>
        <v>1809.84</v>
      </c>
      <c r="I22" s="72">
        <f>COUNTIF(Row_Data[Customer_Name], E22)</f>
        <v>6</v>
      </c>
      <c r="J22" s="71">
        <f t="shared" si="0"/>
        <v>301.64</v>
      </c>
      <c r="K22" s="73" t="str">
        <f t="shared" si="1"/>
        <v>DM</v>
      </c>
      <c r="L22" s="69" t="str">
        <f t="shared" si="2"/>
        <v>Standard</v>
      </c>
    </row>
    <row r="23" spans="4:12" x14ac:dyDescent="0.3">
      <c r="D23" s="69">
        <v>9</v>
      </c>
      <c r="E23" s="70" t="str">
        <v>Dennis Gray</v>
      </c>
      <c r="F23" s="69" t="str">
        <f>_xlfn.XLOOKUP(E23,Row_Data[Customer_Name],Row_Data[Customer_ID],"Not Found")</f>
        <v>CUST043</v>
      </c>
      <c r="G23" s="69" t="str">
        <f>_xlfn.XLOOKUP(E23,Row_Data[Customer_Name],Row_Data[Customer_Segment],"Not Found")</f>
        <v>Standard</v>
      </c>
      <c r="H23" s="71">
        <f>SUMIF(Row_Data[Customer_Name], E23, Row_Data[Total_Amount])</f>
        <v>479.91999999999996</v>
      </c>
      <c r="I23" s="72">
        <f>COUNTIF(Row_Data[Customer_Name], E23)</f>
        <v>2</v>
      </c>
      <c r="J23" s="71">
        <f t="shared" si="0"/>
        <v>239.95999999999998</v>
      </c>
      <c r="K23" s="73" t="str">
        <f t="shared" si="1"/>
        <v>DG</v>
      </c>
      <c r="L23" s="69" t="str">
        <f t="shared" si="2"/>
        <v>Standard</v>
      </c>
    </row>
    <row r="24" spans="4:12" ht="18" customHeight="1" x14ac:dyDescent="0.3">
      <c r="D24" s="69">
        <v>10</v>
      </c>
      <c r="E24" s="70" t="str">
        <v>Dorothy Nelson</v>
      </c>
      <c r="F24" s="69" t="str">
        <f>_xlfn.XLOOKUP(E24,Row_Data[Customer_Name],Row_Data[Customer_ID],"Not Found")</f>
        <v>CUST024</v>
      </c>
      <c r="G24" s="69" t="str">
        <f>_xlfn.XLOOKUP(E24,Row_Data[Customer_Name],Row_Data[Customer_Segment],"Not Found")</f>
        <v>Standard</v>
      </c>
      <c r="H24" s="71">
        <f>SUMIF(Row_Data[Customer_Name], E24, Row_Data[Total_Amount])</f>
        <v>8269.7900000000009</v>
      </c>
      <c r="I24" s="72">
        <f>COUNTIF(Row_Data[Customer_Name], E24)</f>
        <v>6</v>
      </c>
      <c r="J24" s="71">
        <f t="shared" si="0"/>
        <v>1378.2983333333334</v>
      </c>
      <c r="K24" s="73" t="str">
        <f t="shared" si="1"/>
        <v>DN</v>
      </c>
      <c r="L24" s="69" t="str">
        <f t="shared" si="2"/>
        <v>⭐ High Value</v>
      </c>
    </row>
    <row r="25" spans="4:12" ht="16.8" customHeight="1" x14ac:dyDescent="0.3">
      <c r="D25" s="69">
        <v>11</v>
      </c>
      <c r="E25" s="70" t="str">
        <v>Douglas Watson</v>
      </c>
      <c r="F25" s="69" t="str">
        <f>_xlfn.XLOOKUP(E25,Row_Data[Customer_Name],Row_Data[Customer_ID],"Not Found")</f>
        <v>CUST045</v>
      </c>
      <c r="G25" s="69" t="str">
        <f>_xlfn.XLOOKUP(E25,Row_Data[Customer_Name],Row_Data[Customer_Segment],"Not Found")</f>
        <v>Basic</v>
      </c>
      <c r="H25" s="71">
        <f>SUMIF(Row_Data[Customer_Name], E25, Row_Data[Total_Amount])</f>
        <v>4829.8899999999994</v>
      </c>
      <c r="I25" s="72">
        <f>COUNTIF(Row_Data[Customer_Name], E25)</f>
        <v>4</v>
      </c>
      <c r="J25" s="71">
        <f t="shared" si="0"/>
        <v>1207.4724999999999</v>
      </c>
      <c r="K25" s="73" t="str">
        <f t="shared" si="1"/>
        <v>DW</v>
      </c>
      <c r="L25" s="69" t="str">
        <f t="shared" si="2"/>
        <v>⭐ High Value</v>
      </c>
    </row>
    <row r="26" spans="4:12" ht="17.399999999999999" customHeight="1" x14ac:dyDescent="0.3">
      <c r="D26" s="69">
        <v>12</v>
      </c>
      <c r="E26" s="70" t="str">
        <v>Edward Mitchell</v>
      </c>
      <c r="F26" s="69" t="str">
        <f>_xlfn.XLOOKUP(E26,Row_Data[Customer_Name],Row_Data[Customer_ID],"Not Found")</f>
        <v>CUST029</v>
      </c>
      <c r="G26" s="69" t="str">
        <f>_xlfn.XLOOKUP(E26,Row_Data[Customer_Name],Row_Data[Customer_Segment],"Not Found")</f>
        <v>Standard</v>
      </c>
      <c r="H26" s="71">
        <f>SUMIF(Row_Data[Customer_Name], E26, Row_Data[Total_Amount])</f>
        <v>11919.769999999999</v>
      </c>
      <c r="I26" s="72">
        <f>COUNTIF(Row_Data[Customer_Name], E26)</f>
        <v>6</v>
      </c>
      <c r="J26" s="71">
        <f t="shared" si="0"/>
        <v>1986.6283333333331</v>
      </c>
      <c r="K26" s="73" t="str">
        <f t="shared" si="1"/>
        <v>EM</v>
      </c>
      <c r="L26" s="69" t="str">
        <f t="shared" si="2"/>
        <v>⭐ High Value</v>
      </c>
    </row>
    <row r="27" spans="4:12" ht="18" customHeight="1" x14ac:dyDescent="0.3">
      <c r="D27" s="69">
        <v>13</v>
      </c>
      <c r="E27" s="70" t="str">
        <v>Elizabeth Hall</v>
      </c>
      <c r="F27" s="69" t="str">
        <f>_xlfn.XLOOKUP(E27,Row_Data[Customer_Name],Row_Data[Customer_ID],"Not Found")</f>
        <v>CUST016</v>
      </c>
      <c r="G27" s="69" t="str">
        <f>_xlfn.XLOOKUP(E27,Row_Data[Customer_Name],Row_Data[Customer_Segment],"Not Found")</f>
        <v>Basic</v>
      </c>
      <c r="H27" s="71">
        <f>SUMIF(Row_Data[Customer_Name], E27, Row_Data[Total_Amount])</f>
        <v>3649.8599999999997</v>
      </c>
      <c r="I27" s="72">
        <f>COUNTIF(Row_Data[Customer_Name], E27)</f>
        <v>4</v>
      </c>
      <c r="J27" s="71">
        <f t="shared" si="0"/>
        <v>912.46499999999992</v>
      </c>
      <c r="K27" s="73" t="str">
        <f t="shared" si="1"/>
        <v>EH</v>
      </c>
      <c r="L27" s="69" t="str">
        <f t="shared" si="2"/>
        <v>⭐ High Value</v>
      </c>
    </row>
    <row r="28" spans="4:12" x14ac:dyDescent="0.3">
      <c r="D28" s="69">
        <v>14</v>
      </c>
      <c r="E28" s="70" t="str">
        <v>Emma Wilson</v>
      </c>
      <c r="F28" s="69" t="str">
        <f>_xlfn.XLOOKUP(E28,Row_Data[Customer_Name],Row_Data[Customer_ID],"Not Found")</f>
        <v>CUST002</v>
      </c>
      <c r="G28" s="69" t="str">
        <f>_xlfn.XLOOKUP(E28,Row_Data[Customer_Name],Row_Data[Customer_Segment],"Not Found")</f>
        <v>Premium</v>
      </c>
      <c r="H28" s="71">
        <f>SUMIF(Row_Data[Customer_Name], E28, Row_Data[Total_Amount])</f>
        <v>1229.8800000000001</v>
      </c>
      <c r="I28" s="72">
        <f>COUNTIF(Row_Data[Customer_Name], E28)</f>
        <v>5</v>
      </c>
      <c r="J28" s="71">
        <f t="shared" si="0"/>
        <v>245.97600000000003</v>
      </c>
      <c r="K28" s="73" t="str">
        <f t="shared" si="1"/>
        <v>EW</v>
      </c>
      <c r="L28" s="69" t="str">
        <f t="shared" si="2"/>
        <v>Standard</v>
      </c>
    </row>
    <row r="29" spans="4:12" x14ac:dyDescent="0.3">
      <c r="D29" s="69">
        <v>15</v>
      </c>
      <c r="E29" s="70" t="str">
        <v>Frank Torres</v>
      </c>
      <c r="F29" s="69" t="str">
        <f>_xlfn.XLOOKUP(E29,Row_Data[Customer_Name],Row_Data[Customer_ID],"Not Found")</f>
        <v>CUST033</v>
      </c>
      <c r="G29" s="69" t="str">
        <f>_xlfn.XLOOKUP(E29,Row_Data[Customer_Name],Row_Data[Customer_Segment],"Not Found")</f>
        <v>Premium</v>
      </c>
      <c r="H29" s="71">
        <f>SUMIF(Row_Data[Customer_Name], E29, Row_Data[Total_Amount])</f>
        <v>1479.91</v>
      </c>
      <c r="I29" s="72">
        <f>COUNTIF(Row_Data[Customer_Name], E29)</f>
        <v>5</v>
      </c>
      <c r="J29" s="71">
        <f t="shared" si="0"/>
        <v>295.98200000000003</v>
      </c>
      <c r="K29" s="73" t="str">
        <f t="shared" si="1"/>
        <v>FT</v>
      </c>
      <c r="L29" s="69" t="str">
        <f t="shared" si="2"/>
        <v>Standard</v>
      </c>
    </row>
    <row r="30" spans="4:12" ht="15.6" customHeight="1" x14ac:dyDescent="0.3">
      <c r="D30" s="69">
        <v>16</v>
      </c>
      <c r="E30" s="70" t="str">
        <v>George Adams</v>
      </c>
      <c r="F30" s="69" t="str">
        <f>_xlfn.XLOOKUP(E30,Row_Data[Customer_Name],Row_Data[Customer_ID],"Not Found")</f>
        <v>CUST027</v>
      </c>
      <c r="G30" s="69" t="str">
        <f>_xlfn.XLOOKUP(E30,Row_Data[Customer_Name],Row_Data[Customer_Segment],"Not Found")</f>
        <v>Standard</v>
      </c>
      <c r="H30" s="71">
        <f>SUMIF(Row_Data[Customer_Name], E30, Row_Data[Total_Amount])</f>
        <v>3779.93</v>
      </c>
      <c r="I30" s="72">
        <f>COUNTIF(Row_Data[Customer_Name], E30)</f>
        <v>3</v>
      </c>
      <c r="J30" s="71">
        <f t="shared" si="0"/>
        <v>1259.9766666666667</v>
      </c>
      <c r="K30" s="73" t="str">
        <f t="shared" si="1"/>
        <v>GA</v>
      </c>
      <c r="L30" s="69" t="str">
        <f t="shared" si="2"/>
        <v>⭐ High Value</v>
      </c>
    </row>
    <row r="31" spans="4:12" ht="17.399999999999999" customHeight="1" x14ac:dyDescent="0.3">
      <c r="D31" s="69">
        <v>17</v>
      </c>
      <c r="E31" s="70" t="str">
        <v>Gerald Murphy</v>
      </c>
      <c r="F31" s="69" t="str">
        <f>_xlfn.XLOOKUP(E31,Row_Data[Customer_Name],Row_Data[Customer_ID],"Not Found")</f>
        <v>CUST047</v>
      </c>
      <c r="G31" s="69" t="str">
        <f>_xlfn.XLOOKUP(E31,Row_Data[Customer_Name],Row_Data[Customer_Segment],"Not Found")</f>
        <v>Basic</v>
      </c>
      <c r="H31" s="71">
        <f>SUMIF(Row_Data[Customer_Name], E31, Row_Data[Total_Amount])</f>
        <v>6379.87</v>
      </c>
      <c r="I31" s="72">
        <f>COUNTIF(Row_Data[Customer_Name], E31)</f>
        <v>4</v>
      </c>
      <c r="J31" s="71">
        <f t="shared" si="0"/>
        <v>1594.9675</v>
      </c>
      <c r="K31" s="73" t="str">
        <f t="shared" si="1"/>
        <v>GM</v>
      </c>
      <c r="L31" s="69" t="str">
        <f t="shared" si="2"/>
        <v>⭐ High Value</v>
      </c>
    </row>
    <row r="32" spans="4:12" ht="16.8" customHeight="1" x14ac:dyDescent="0.3">
      <c r="D32" s="69">
        <v>18</v>
      </c>
      <c r="E32" s="70" t="str">
        <v>Harry Morgan</v>
      </c>
      <c r="F32" s="69" t="str">
        <f>_xlfn.XLOOKUP(E32,Row_Data[Customer_Name],Row_Data[Customer_ID],"Not Found")</f>
        <v>CUST035</v>
      </c>
      <c r="G32" s="69" t="str">
        <f>_xlfn.XLOOKUP(E32,Row_Data[Customer_Name],Row_Data[Customer_Segment],"Not Found")</f>
        <v>Premium</v>
      </c>
      <c r="H32" s="71">
        <f>SUMIF(Row_Data[Customer_Name], E32, Row_Data[Total_Amount])</f>
        <v>5519.8899999999994</v>
      </c>
      <c r="I32" s="72">
        <f>COUNTIF(Row_Data[Customer_Name], E32)</f>
        <v>4</v>
      </c>
      <c r="J32" s="71">
        <f t="shared" si="0"/>
        <v>1379.9724999999999</v>
      </c>
      <c r="K32" s="73" t="str">
        <f t="shared" si="1"/>
        <v>HM</v>
      </c>
      <c r="L32" s="69" t="str">
        <f t="shared" si="2"/>
        <v>⭐ High Value</v>
      </c>
    </row>
    <row r="33" spans="4:12" ht="19.2" customHeight="1" x14ac:dyDescent="0.3">
      <c r="D33" s="69">
        <v>19</v>
      </c>
      <c r="E33" s="70" t="str">
        <v>Helen Roberts</v>
      </c>
      <c r="F33" s="69" t="str">
        <f>_xlfn.XLOOKUP(E33,Row_Data[Customer_Name],Row_Data[Customer_ID],"Not Found")</f>
        <v>CUST030</v>
      </c>
      <c r="G33" s="69" t="str">
        <f>_xlfn.XLOOKUP(E33,Row_Data[Customer_Name],Row_Data[Customer_Segment],"Not Found")</f>
        <v>Standard</v>
      </c>
      <c r="H33" s="71">
        <f>SUMIF(Row_Data[Customer_Name], E33, Row_Data[Total_Amount])</f>
        <v>6459.79</v>
      </c>
      <c r="I33" s="72">
        <f>COUNTIF(Row_Data[Customer_Name], E33)</f>
        <v>7</v>
      </c>
      <c r="J33" s="71">
        <f t="shared" si="0"/>
        <v>922.8271428571428</v>
      </c>
      <c r="K33" s="73" t="str">
        <f t="shared" si="1"/>
        <v>HR</v>
      </c>
      <c r="L33" s="69" t="str">
        <f t="shared" si="2"/>
        <v>⭐ High Value</v>
      </c>
    </row>
    <row r="34" spans="4:12" x14ac:dyDescent="0.3">
      <c r="D34" s="69">
        <v>20</v>
      </c>
      <c r="E34" s="70" t="str">
        <v>James Johnson</v>
      </c>
      <c r="F34" s="69" t="str">
        <f>_xlfn.XLOOKUP(E34,Row_Data[Customer_Name],Row_Data[Customer_ID],"Not Found")</f>
        <v>CUST005</v>
      </c>
      <c r="G34" s="69" t="str">
        <f>_xlfn.XLOOKUP(E34,Row_Data[Customer_Name],Row_Data[Customer_Segment],"Not Found")</f>
        <v>Premium</v>
      </c>
      <c r="H34" s="71">
        <f>SUMIF(Row_Data[Customer_Name], E34, Row_Data[Total_Amount])</f>
        <v>179.97</v>
      </c>
      <c r="I34" s="72">
        <f>COUNTIF(Row_Data[Customer_Name], E34)</f>
        <v>1</v>
      </c>
      <c r="J34" s="71">
        <f t="shared" si="0"/>
        <v>179.97</v>
      </c>
      <c r="K34" s="73" t="str">
        <f t="shared" si="1"/>
        <v>JJ</v>
      </c>
      <c r="L34" s="69" t="str">
        <f t="shared" si="2"/>
        <v>Standard</v>
      </c>
    </row>
    <row r="35" spans="4:12" ht="20.399999999999999" customHeight="1" x14ac:dyDescent="0.3">
      <c r="D35" s="69">
        <v>21</v>
      </c>
      <c r="E35" s="70" t="str">
        <v>Jennifer Taylor</v>
      </c>
      <c r="F35" s="69" t="str">
        <f>_xlfn.XLOOKUP(E35,Row_Data[Customer_Name],Row_Data[Customer_ID],"Not Found")</f>
        <v>CUST008</v>
      </c>
      <c r="G35" s="69" t="str">
        <f>_xlfn.XLOOKUP(E35,Row_Data[Customer_Name],Row_Data[Customer_Segment],"Not Found")</f>
        <v>Standard</v>
      </c>
      <c r="H35" s="71">
        <f>SUMIF(Row_Data[Customer_Name], E35, Row_Data[Total_Amount])</f>
        <v>4739.8500000000004</v>
      </c>
      <c r="I35" s="72">
        <f>COUNTIF(Row_Data[Customer_Name], E35)</f>
        <v>4</v>
      </c>
      <c r="J35" s="71">
        <f t="shared" si="0"/>
        <v>1184.9625000000001</v>
      </c>
      <c r="K35" s="73" t="str">
        <f t="shared" si="1"/>
        <v>JT</v>
      </c>
      <c r="L35" s="69" t="str">
        <f t="shared" si="2"/>
        <v>⭐ High Value</v>
      </c>
    </row>
    <row r="36" spans="4:12" x14ac:dyDescent="0.3">
      <c r="D36" s="69">
        <v>22</v>
      </c>
      <c r="E36" s="70" t="str">
        <v>John Smith</v>
      </c>
      <c r="F36" s="69" t="str">
        <f>_xlfn.XLOOKUP(E36,Row_Data[Customer_Name],Row_Data[Customer_ID],"Not Found")</f>
        <v>CUST001</v>
      </c>
      <c r="G36" s="69" t="str">
        <f>_xlfn.XLOOKUP(E36,Row_Data[Customer_Name],Row_Data[Customer_Segment],"Not Found")</f>
        <v>Standard</v>
      </c>
      <c r="H36" s="71">
        <f>SUMIF(Row_Data[Customer_Name], E36, Row_Data[Total_Amount])</f>
        <v>599.96</v>
      </c>
      <c r="I36" s="72">
        <f>COUNTIF(Row_Data[Customer_Name], E36)</f>
        <v>1</v>
      </c>
      <c r="J36" s="71">
        <f t="shared" si="0"/>
        <v>599.96</v>
      </c>
      <c r="K36" s="73" t="str">
        <f t="shared" si="1"/>
        <v>JS</v>
      </c>
      <c r="L36" s="69" t="str">
        <f t="shared" si="2"/>
        <v>Standard</v>
      </c>
    </row>
    <row r="37" spans="4:12" ht="17.399999999999999" customHeight="1" x14ac:dyDescent="0.3">
      <c r="D37" s="69">
        <v>23</v>
      </c>
      <c r="E37" s="70" t="str">
        <v>Joseph Jackson</v>
      </c>
      <c r="F37" s="69" t="str">
        <f>_xlfn.XLOOKUP(E37,Row_Data[Customer_Name],Row_Data[Customer_ID],"Not Found")</f>
        <v>CUST013</v>
      </c>
      <c r="G37" s="69" t="str">
        <f>_xlfn.XLOOKUP(E37,Row_Data[Customer_Name],Row_Data[Customer_Segment],"Not Found")</f>
        <v>Premium</v>
      </c>
      <c r="H37" s="71">
        <f>SUMIF(Row_Data[Customer_Name], E37, Row_Data[Total_Amount])</f>
        <v>6949.84</v>
      </c>
      <c r="I37" s="72">
        <f>COUNTIF(Row_Data[Customer_Name], E37)</f>
        <v>5</v>
      </c>
      <c r="J37" s="71">
        <f t="shared" si="0"/>
        <v>1389.9680000000001</v>
      </c>
      <c r="K37" s="73" t="str">
        <f t="shared" si="1"/>
        <v>JJ</v>
      </c>
      <c r="L37" s="69" t="str">
        <f t="shared" si="2"/>
        <v>⭐ High Value</v>
      </c>
    </row>
    <row r="38" spans="4:12" x14ac:dyDescent="0.3">
      <c r="D38" s="69">
        <v>24</v>
      </c>
      <c r="E38" s="70" t="str">
        <v>Julie Foster</v>
      </c>
      <c r="F38" s="69" t="str">
        <f>_xlfn.XLOOKUP(E38,Row_Data[Customer_Name],Row_Data[Customer_ID],"Not Found")</f>
        <v>CUST050</v>
      </c>
      <c r="G38" s="69" t="str">
        <f>_xlfn.XLOOKUP(E38,Row_Data[Customer_Name],Row_Data[Customer_Segment],"Not Found")</f>
        <v>Standard</v>
      </c>
      <c r="H38" s="71">
        <f>SUMIF(Row_Data[Customer_Name], E38, Row_Data[Total_Amount])</f>
        <v>239.96</v>
      </c>
      <c r="I38" s="72">
        <f>COUNTIF(Row_Data[Customer_Name], E38)</f>
        <v>1</v>
      </c>
      <c r="J38" s="71">
        <f t="shared" si="0"/>
        <v>239.96</v>
      </c>
      <c r="K38" s="73" t="str">
        <f t="shared" si="1"/>
        <v>JF</v>
      </c>
      <c r="L38" s="69" t="str">
        <f t="shared" si="2"/>
        <v>Standard</v>
      </c>
    </row>
    <row r="39" spans="4:12" ht="18" customHeight="1" x14ac:dyDescent="0.3">
      <c r="D39" s="69">
        <v>25</v>
      </c>
      <c r="E39" s="70" t="str">
        <v>Karen Hill</v>
      </c>
      <c r="F39" s="69" t="str">
        <f>_xlfn.XLOOKUP(E39,Row_Data[Customer_Name],Row_Data[Customer_ID],"Not Found")</f>
        <v>CUST026</v>
      </c>
      <c r="G39" s="69" t="str">
        <f>_xlfn.XLOOKUP(E39,Row_Data[Customer_Name],Row_Data[Customer_Segment],"Not Found")</f>
        <v>Premium</v>
      </c>
      <c r="H39" s="71">
        <f>SUMIF(Row_Data[Customer_Name], E39, Row_Data[Total_Amount])</f>
        <v>8009.7699999999995</v>
      </c>
      <c r="I39" s="72">
        <f>COUNTIF(Row_Data[Customer_Name], E39)</f>
        <v>8</v>
      </c>
      <c r="J39" s="71">
        <f t="shared" si="0"/>
        <v>1001.2212499999999</v>
      </c>
      <c r="K39" s="73" t="str">
        <f t="shared" si="1"/>
        <v>KH</v>
      </c>
      <c r="L39" s="69" t="str">
        <f t="shared" si="2"/>
        <v>⭐ High Value</v>
      </c>
    </row>
    <row r="40" spans="4:12" ht="15" customHeight="1" x14ac:dyDescent="0.3">
      <c r="D40" s="69">
        <v>26</v>
      </c>
      <c r="E40" s="70" t="str">
        <v>Kathleen Bennett</v>
      </c>
      <c r="F40" s="69" t="str">
        <f>_xlfn.XLOOKUP(E40,Row_Data[Customer_Name],Row_Data[Customer_ID],"Not Found")</f>
        <v>CUST046</v>
      </c>
      <c r="G40" s="69" t="str">
        <f>_xlfn.XLOOKUP(E40,Row_Data[Customer_Name],Row_Data[Customer_Segment],"Not Found")</f>
        <v>Premium</v>
      </c>
      <c r="H40" s="71">
        <f>SUMIF(Row_Data[Customer_Name], E40, Row_Data[Total_Amount])</f>
        <v>4309.8099999999995</v>
      </c>
      <c r="I40" s="72">
        <f>COUNTIF(Row_Data[Customer_Name], E40)</f>
        <v>6</v>
      </c>
      <c r="J40" s="71">
        <f t="shared" si="0"/>
        <v>718.30166666666662</v>
      </c>
      <c r="K40" s="73" t="str">
        <f t="shared" si="1"/>
        <v>KB</v>
      </c>
      <c r="L40" s="69" t="str">
        <f t="shared" si="2"/>
        <v>⭐ High Value</v>
      </c>
    </row>
    <row r="41" spans="4:12" ht="16.8" customHeight="1" x14ac:dyDescent="0.3">
      <c r="D41" s="69">
        <v>27</v>
      </c>
      <c r="E41" s="70" t="str">
        <v>Kevin Scott</v>
      </c>
      <c r="F41" s="69" t="str">
        <f>_xlfn.XLOOKUP(E41,Row_Data[Customer_Name],Row_Data[Customer_ID],"Not Found")</f>
        <v>CUST021</v>
      </c>
      <c r="G41" s="69" t="str">
        <f>_xlfn.XLOOKUP(E41,Row_Data[Customer_Name],Row_Data[Customer_Segment],"Not Found")</f>
        <v>Standard</v>
      </c>
      <c r="H41" s="71">
        <f>SUMIF(Row_Data[Customer_Name], E41, Row_Data[Total_Amount])</f>
        <v>3259.87</v>
      </c>
      <c r="I41" s="72">
        <f>COUNTIF(Row_Data[Customer_Name], E41)</f>
        <v>6</v>
      </c>
      <c r="J41" s="71">
        <f t="shared" si="0"/>
        <v>543.31166666666661</v>
      </c>
      <c r="K41" s="73" t="str">
        <f t="shared" si="1"/>
        <v>KS</v>
      </c>
      <c r="L41" s="69" t="str">
        <f t="shared" si="2"/>
        <v>⭐ High Value</v>
      </c>
    </row>
    <row r="42" spans="4:12" ht="19.8" customHeight="1" x14ac:dyDescent="0.3">
      <c r="D42" s="69">
        <v>28</v>
      </c>
      <c r="E42" s="70" t="str">
        <v>Lawrence Reed</v>
      </c>
      <c r="F42" s="69" t="str">
        <f>_xlfn.XLOOKUP(E42,Row_Data[Customer_Name],Row_Data[Customer_ID],"Not Found")</f>
        <v>CUST039</v>
      </c>
      <c r="G42" s="69" t="str">
        <f>_xlfn.XLOOKUP(E42,Row_Data[Customer_Name],Row_Data[Customer_Segment],"Not Found")</f>
        <v>Premium</v>
      </c>
      <c r="H42" s="71">
        <f>SUMIF(Row_Data[Customer_Name], E42, Row_Data[Total_Amount])</f>
        <v>6989.7699999999986</v>
      </c>
      <c r="I42" s="72">
        <f>COUNTIF(Row_Data[Customer_Name], E42)</f>
        <v>8</v>
      </c>
      <c r="J42" s="71">
        <f t="shared" si="0"/>
        <v>873.72124999999983</v>
      </c>
      <c r="K42" s="73" t="str">
        <f t="shared" si="1"/>
        <v>LR</v>
      </c>
      <c r="L42" s="69" t="str">
        <f t="shared" si="2"/>
        <v>⭐ High Value</v>
      </c>
    </row>
    <row r="43" spans="4:12" x14ac:dyDescent="0.3">
      <c r="D43" s="69">
        <v>29</v>
      </c>
      <c r="E43" s="70" t="str">
        <v>Linda Martin</v>
      </c>
      <c r="F43" s="69" t="str">
        <f>_xlfn.XLOOKUP(E43,Row_Data[Customer_Name],Row_Data[Customer_ID],"Not Found")</f>
        <v>CUST014</v>
      </c>
      <c r="G43" s="69" t="str">
        <f>_xlfn.XLOOKUP(E43,Row_Data[Customer_Name],Row_Data[Customer_Segment],"Not Found")</f>
        <v>Premium</v>
      </c>
      <c r="H43" s="71">
        <f>SUMIF(Row_Data[Customer_Name], E43, Row_Data[Total_Amount])</f>
        <v>1289.9000000000001</v>
      </c>
      <c r="I43" s="72">
        <f>COUNTIF(Row_Data[Customer_Name], E43)</f>
        <v>4</v>
      </c>
      <c r="J43" s="71">
        <f t="shared" si="0"/>
        <v>322.47500000000002</v>
      </c>
      <c r="K43" s="73" t="str">
        <f t="shared" si="1"/>
        <v>LM</v>
      </c>
      <c r="L43" s="69" t="str">
        <f t="shared" si="2"/>
        <v>Standard</v>
      </c>
    </row>
    <row r="44" spans="4:12" x14ac:dyDescent="0.3">
      <c r="D44" s="69">
        <v>30</v>
      </c>
      <c r="E44" s="70" t="str">
        <v>Lisa Anderson</v>
      </c>
      <c r="F44" s="69" t="str">
        <f>_xlfn.XLOOKUP(E44,Row_Data[Customer_Name],Row_Data[Customer_ID],"Not Found")</f>
        <v>CUST006</v>
      </c>
      <c r="G44" s="69" t="str">
        <f>_xlfn.XLOOKUP(E44,Row_Data[Customer_Name],Row_Data[Customer_Segment],"Not Found")</f>
        <v>Basic</v>
      </c>
      <c r="H44" s="71">
        <f>SUMIF(Row_Data[Customer_Name], E44, Row_Data[Total_Amount])</f>
        <v>2039.8000000000002</v>
      </c>
      <c r="I44" s="72">
        <f>COUNTIF(Row_Data[Customer_Name], E44)</f>
        <v>5</v>
      </c>
      <c r="J44" s="71">
        <f t="shared" si="0"/>
        <v>407.96000000000004</v>
      </c>
      <c r="K44" s="73" t="str">
        <f t="shared" si="1"/>
        <v>LA</v>
      </c>
      <c r="L44" s="69" t="str">
        <f t="shared" si="2"/>
        <v>Standard</v>
      </c>
    </row>
    <row r="45" spans="4:12" x14ac:dyDescent="0.3">
      <c r="D45" s="69">
        <v>31</v>
      </c>
      <c r="E45" s="70" t="str">
        <v>Margaret Wright</v>
      </c>
      <c r="F45" s="69" t="str">
        <f>_xlfn.XLOOKUP(E45,Row_Data[Customer_Name],Row_Data[Customer_ID],"Not Found")</f>
        <v>CUST020</v>
      </c>
      <c r="G45" s="69" t="str">
        <f>_xlfn.XLOOKUP(E45,Row_Data[Customer_Name],Row_Data[Customer_Segment],"Not Found")</f>
        <v>Basic</v>
      </c>
      <c r="H45" s="71">
        <f>SUMIF(Row_Data[Customer_Name], E45, Row_Data[Total_Amount])</f>
        <v>2099.88</v>
      </c>
      <c r="I45" s="72">
        <f>COUNTIF(Row_Data[Customer_Name], E45)</f>
        <v>4</v>
      </c>
      <c r="J45" s="71">
        <f t="shared" si="0"/>
        <v>524.97</v>
      </c>
      <c r="K45" s="73" t="str">
        <f t="shared" si="1"/>
        <v>MW</v>
      </c>
      <c r="L45" s="69" t="str">
        <f t="shared" si="2"/>
        <v>Standard</v>
      </c>
    </row>
    <row r="46" spans="4:12" ht="17.399999999999999" customHeight="1" x14ac:dyDescent="0.3">
      <c r="D46" s="69">
        <v>32</v>
      </c>
      <c r="E46" s="70" t="str">
        <v>Maria Garcia</v>
      </c>
      <c r="F46" s="69" t="str">
        <f>_xlfn.XLOOKUP(E46,Row_Data[Customer_Name],Row_Data[Customer_ID],"Not Found")</f>
        <v>CUST010</v>
      </c>
      <c r="G46" s="69" t="str">
        <f>_xlfn.XLOOKUP(E46,Row_Data[Customer_Name],Row_Data[Customer_Segment],"Not Found")</f>
        <v>Basic</v>
      </c>
      <c r="H46" s="71">
        <f>SUMIF(Row_Data[Customer_Name], E46, Row_Data[Total_Amount])</f>
        <v>1909.93</v>
      </c>
      <c r="I46" s="72">
        <f>COUNTIF(Row_Data[Customer_Name], E46)</f>
        <v>4</v>
      </c>
      <c r="J46" s="71">
        <f t="shared" si="0"/>
        <v>477.48250000000002</v>
      </c>
      <c r="K46" s="73" t="str">
        <f t="shared" si="1"/>
        <v>MG</v>
      </c>
      <c r="L46" s="69" t="str">
        <f t="shared" si="2"/>
        <v>Standard</v>
      </c>
    </row>
    <row r="47" spans="4:12" ht="16.8" customHeight="1" x14ac:dyDescent="0.3">
      <c r="D47" s="69">
        <v>33</v>
      </c>
      <c r="E47" s="70" t="str">
        <v>Mark Carter</v>
      </c>
      <c r="F47" s="69" t="str">
        <f>_xlfn.XLOOKUP(E47,Row_Data[Customer_Name],Row_Data[Customer_ID],"Not Found")</f>
        <v>CUST025</v>
      </c>
      <c r="G47" s="69" t="str">
        <f>_xlfn.XLOOKUP(E47,Row_Data[Customer_Name],Row_Data[Customer_Segment],"Not Found")</f>
        <v>Premium</v>
      </c>
      <c r="H47" s="71">
        <f>SUMIF(Row_Data[Customer_Name], E47, Row_Data[Total_Amount])</f>
        <v>15659.65</v>
      </c>
      <c r="I47" s="72">
        <f>COUNTIF(Row_Data[Customer_Name], E47)</f>
        <v>12</v>
      </c>
      <c r="J47" s="71">
        <f t="shared" ref="J47:J64" si="3">$H47/$I47</f>
        <v>1304.9708333333333</v>
      </c>
      <c r="K47" s="73" t="str">
        <f t="shared" si="1"/>
        <v>MC</v>
      </c>
      <c r="L47" s="69" t="str">
        <f t="shared" ref="L47:L64" si="4">IF($H47&gt;3000,"⭐ High Value","Standard")</f>
        <v>⭐ High Value</v>
      </c>
    </row>
    <row r="48" spans="4:12" ht="19.2" customHeight="1" x14ac:dyDescent="0.3">
      <c r="D48" s="69">
        <v>34</v>
      </c>
      <c r="E48" s="70" t="str">
        <v>Michael Brown</v>
      </c>
      <c r="F48" s="69" t="str">
        <f>_xlfn.XLOOKUP(E48,Row_Data[Customer_Name],Row_Data[Customer_ID],"Not Found")</f>
        <v>CUST003</v>
      </c>
      <c r="G48" s="69" t="str">
        <f>_xlfn.XLOOKUP(E48,Row_Data[Customer_Name],Row_Data[Customer_Segment],"Not Found")</f>
        <v>Premium</v>
      </c>
      <c r="H48" s="71">
        <f>SUMIF(Row_Data[Customer_Name], E48, Row_Data[Total_Amount])</f>
        <v>6169.7400000000007</v>
      </c>
      <c r="I48" s="72">
        <f>COUNTIF(Row_Data[Customer_Name], E48)</f>
        <v>9</v>
      </c>
      <c r="J48" s="71">
        <f t="shared" si="3"/>
        <v>685.52666666666676</v>
      </c>
      <c r="K48" s="73" t="str">
        <f t="shared" si="1"/>
        <v>MB</v>
      </c>
      <c r="L48" s="69" t="str">
        <f t="shared" si="4"/>
        <v>⭐ High Value</v>
      </c>
    </row>
    <row r="49" spans="4:12" ht="19.2" customHeight="1" x14ac:dyDescent="0.3">
      <c r="D49" s="69">
        <v>35</v>
      </c>
      <c r="E49" s="70" t="str">
        <v>Michelle Rogers</v>
      </c>
      <c r="F49" s="69" t="str">
        <f>_xlfn.XLOOKUP(E49,Row_Data[Customer_Name],Row_Data[Customer_ID],"Not Found")</f>
        <v>CUST038</v>
      </c>
      <c r="G49" s="69" t="str">
        <f>_xlfn.XLOOKUP(E49,Row_Data[Customer_Name],Row_Data[Customer_Segment],"Not Found")</f>
        <v>Basic</v>
      </c>
      <c r="H49" s="71">
        <f>SUMIF(Row_Data[Customer_Name], E49, Row_Data[Total_Amount])</f>
        <v>4199.9399999999996</v>
      </c>
      <c r="I49" s="72">
        <f>COUNTIF(Row_Data[Customer_Name], E49)</f>
        <v>2</v>
      </c>
      <c r="J49" s="71">
        <f t="shared" si="3"/>
        <v>2099.9699999999998</v>
      </c>
      <c r="K49" s="73" t="str">
        <f t="shared" si="1"/>
        <v>MR</v>
      </c>
      <c r="L49" s="69" t="str">
        <f t="shared" si="4"/>
        <v>⭐ High Value</v>
      </c>
    </row>
    <row r="50" spans="4:12" ht="21.6" customHeight="1" x14ac:dyDescent="0.3">
      <c r="D50" s="69">
        <v>36</v>
      </c>
      <c r="E50" s="70" t="str">
        <v>Nancy Collins</v>
      </c>
      <c r="F50" s="69" t="str">
        <f>_xlfn.XLOOKUP(E50,Row_Data[Customer_Name],Row_Data[Customer_ID],"Not Found")</f>
        <v>CUST036</v>
      </c>
      <c r="G50" s="69" t="str">
        <f>_xlfn.XLOOKUP(E50,Row_Data[Customer_Name],Row_Data[Customer_Segment],"Not Found")</f>
        <v>Standard</v>
      </c>
      <c r="H50" s="71">
        <f>SUMIF(Row_Data[Customer_Name], E50, Row_Data[Total_Amount])</f>
        <v>4189.7700000000004</v>
      </c>
      <c r="I50" s="72">
        <f>COUNTIF(Row_Data[Customer_Name], E50)</f>
        <v>6</v>
      </c>
      <c r="J50" s="71">
        <f t="shared" si="3"/>
        <v>698.29500000000007</v>
      </c>
      <c r="K50" s="73" t="str">
        <f t="shared" si="1"/>
        <v>NC</v>
      </c>
      <c r="L50" s="69" t="str">
        <f t="shared" si="4"/>
        <v>⭐ High Value</v>
      </c>
    </row>
    <row r="51" spans="4:12" ht="15.6" customHeight="1" x14ac:dyDescent="0.3">
      <c r="D51" s="69">
        <v>37</v>
      </c>
      <c r="E51" s="70" t="str">
        <v>Patricia Moore</v>
      </c>
      <c r="F51" s="69" t="str">
        <f>_xlfn.XLOOKUP(E51,Row_Data[Customer_Name],Row_Data[Customer_ID],"Not Found")</f>
        <v>CUST012</v>
      </c>
      <c r="G51" s="69" t="str">
        <f>_xlfn.XLOOKUP(E51,Row_Data[Customer_Name],Row_Data[Customer_Segment],"Not Found")</f>
        <v>Standard</v>
      </c>
      <c r="H51" s="71">
        <f>SUMIF(Row_Data[Customer_Name], E51, Row_Data[Total_Amount])</f>
        <v>9799.73</v>
      </c>
      <c r="I51" s="72">
        <f>COUNTIF(Row_Data[Customer_Name], E51)</f>
        <v>8</v>
      </c>
      <c r="J51" s="71">
        <f t="shared" si="3"/>
        <v>1224.9662499999999</v>
      </c>
      <c r="K51" s="73" t="str">
        <f t="shared" si="1"/>
        <v>PM</v>
      </c>
      <c r="L51" s="69" t="str">
        <f t="shared" si="4"/>
        <v>⭐ High Value</v>
      </c>
    </row>
    <row r="52" spans="4:12" ht="21.6" customHeight="1" x14ac:dyDescent="0.3">
      <c r="D52" s="69">
        <v>38</v>
      </c>
      <c r="E52" s="70" t="str">
        <v>Paul Baker</v>
      </c>
      <c r="F52" s="69" t="str">
        <f>_xlfn.XLOOKUP(E52,Row_Data[Customer_Name],Row_Data[Customer_ID],"Not Found")</f>
        <v>CUST023</v>
      </c>
      <c r="G52" s="69" t="str">
        <f>_xlfn.XLOOKUP(E52,Row_Data[Customer_Name],Row_Data[Customer_Segment],"Not Found")</f>
        <v>Basic</v>
      </c>
      <c r="H52" s="71">
        <f>SUMIF(Row_Data[Customer_Name], E52, Row_Data[Total_Amount])</f>
        <v>8309.739999999998</v>
      </c>
      <c r="I52" s="72">
        <f>COUNTIF(Row_Data[Customer_Name], E52)</f>
        <v>8</v>
      </c>
      <c r="J52" s="71">
        <f t="shared" si="3"/>
        <v>1038.7174999999997</v>
      </c>
      <c r="K52" s="73" t="str">
        <f t="shared" si="1"/>
        <v>PB</v>
      </c>
      <c r="L52" s="69" t="str">
        <f t="shared" si="4"/>
        <v>⭐ High Value</v>
      </c>
    </row>
    <row r="53" spans="4:12" ht="19.2" customHeight="1" x14ac:dyDescent="0.3">
      <c r="D53" s="69">
        <v>39</v>
      </c>
      <c r="E53" s="70" t="str">
        <v>Peter Richardson</v>
      </c>
      <c r="F53" s="69" t="str">
        <f>_xlfn.XLOOKUP(E53,Row_Data[Customer_Name],Row_Data[Customer_ID],"Not Found")</f>
        <v>CUST041</v>
      </c>
      <c r="G53" s="69" t="str">
        <f>_xlfn.XLOOKUP(E53,Row_Data[Customer_Name],Row_Data[Customer_Segment],"Not Found")</f>
        <v>Premium</v>
      </c>
      <c r="H53" s="71">
        <f>SUMIF(Row_Data[Customer_Name], E53, Row_Data[Total_Amount])</f>
        <v>5949.85</v>
      </c>
      <c r="I53" s="72">
        <f>COUNTIF(Row_Data[Customer_Name], E53)</f>
        <v>5</v>
      </c>
      <c r="J53" s="71">
        <f t="shared" si="3"/>
        <v>1189.97</v>
      </c>
      <c r="K53" s="73" t="str">
        <f t="shared" si="1"/>
        <v>PR</v>
      </c>
      <c r="L53" s="69" t="str">
        <f t="shared" si="4"/>
        <v>⭐ High Value</v>
      </c>
    </row>
    <row r="54" spans="4:12" ht="19.2" customHeight="1" x14ac:dyDescent="0.3">
      <c r="D54" s="69">
        <v>40</v>
      </c>
      <c r="E54" s="70" t="str">
        <v>Raymond Ross</v>
      </c>
      <c r="F54" s="69" t="str">
        <f>_xlfn.XLOOKUP(E54,Row_Data[Customer_Name],Row_Data[Customer_ID],"Not Found")</f>
        <v>CUST049</v>
      </c>
      <c r="G54" s="69" t="str">
        <f>_xlfn.XLOOKUP(E54,Row_Data[Customer_Name],Row_Data[Customer_Segment],"Not Found")</f>
        <v>Basic</v>
      </c>
      <c r="H54" s="71">
        <f>SUMIF(Row_Data[Customer_Name], E54, Row_Data[Total_Amount])</f>
        <v>3669.8500000000004</v>
      </c>
      <c r="I54" s="72">
        <f>COUNTIF(Row_Data[Customer_Name], E54)</f>
        <v>4</v>
      </c>
      <c r="J54" s="71">
        <f t="shared" si="3"/>
        <v>917.46250000000009</v>
      </c>
      <c r="K54" s="73" t="str">
        <f t="shared" si="1"/>
        <v>RR</v>
      </c>
      <c r="L54" s="69" t="str">
        <f t="shared" si="4"/>
        <v>⭐ High Value</v>
      </c>
    </row>
    <row r="55" spans="4:12" x14ac:dyDescent="0.3">
      <c r="D55" s="69">
        <v>41</v>
      </c>
      <c r="E55" s="70" t="str">
        <v>Richard Lee</v>
      </c>
      <c r="F55" s="69" t="str">
        <f>_xlfn.XLOOKUP(E55,Row_Data[Customer_Name],Row_Data[Customer_ID],"Not Found")</f>
        <v>CUST015</v>
      </c>
      <c r="G55" s="69" t="str">
        <f>_xlfn.XLOOKUP(E55,Row_Data[Customer_Name],Row_Data[Customer_Segment],"Not Found")</f>
        <v>Standard</v>
      </c>
      <c r="H55" s="71">
        <f>SUMIF(Row_Data[Customer_Name], E55, Row_Data[Total_Amount])</f>
        <v>739.93000000000006</v>
      </c>
      <c r="I55" s="72">
        <f>COUNTIF(Row_Data[Customer_Name], E55)</f>
        <v>3</v>
      </c>
      <c r="J55" s="71">
        <f t="shared" si="3"/>
        <v>246.64333333333335</v>
      </c>
      <c r="K55" s="73" t="str">
        <f t="shared" si="1"/>
        <v>RL</v>
      </c>
      <c r="L55" s="69" t="str">
        <f t="shared" si="4"/>
        <v>Standard</v>
      </c>
    </row>
    <row r="56" spans="4:12" x14ac:dyDescent="0.3">
      <c r="D56" s="69">
        <v>42</v>
      </c>
      <c r="E56" s="70" t="str">
        <v>Robert Thomas</v>
      </c>
      <c r="F56" s="69" t="str">
        <f>_xlfn.XLOOKUP(E56,Row_Data[Customer_Name],Row_Data[Customer_ID],"Not Found")</f>
        <v>CUST009</v>
      </c>
      <c r="G56" s="69" t="str">
        <f>_xlfn.XLOOKUP(E56,Row_Data[Customer_Name],Row_Data[Customer_Segment],"Not Found")</f>
        <v>Standard</v>
      </c>
      <c r="H56" s="71">
        <f>SUMIF(Row_Data[Customer_Name], E56, Row_Data[Total_Amount])</f>
        <v>3509.8999999999996</v>
      </c>
      <c r="I56" s="72">
        <f>COUNTIF(Row_Data[Customer_Name], E56)</f>
        <v>5</v>
      </c>
      <c r="J56" s="71">
        <f t="shared" si="3"/>
        <v>701.9799999999999</v>
      </c>
      <c r="K56" s="73" t="str">
        <f t="shared" si="1"/>
        <v>RT</v>
      </c>
      <c r="L56" s="69" t="str">
        <f t="shared" si="4"/>
        <v>⭐ High Value</v>
      </c>
    </row>
    <row r="57" spans="4:12" x14ac:dyDescent="0.3">
      <c r="D57" s="69">
        <v>43</v>
      </c>
      <c r="E57" s="70" t="str">
        <v>Ruth Brooks</v>
      </c>
      <c r="F57" s="69" t="str">
        <f>_xlfn.XLOOKUP(E57,Row_Data[Customer_Name],Row_Data[Customer_ID],"Not Found")</f>
        <v>CUST042</v>
      </c>
      <c r="G57" s="69" t="str">
        <f>_xlfn.XLOOKUP(E57,Row_Data[Customer_Name],Row_Data[Customer_Segment],"Not Found")</f>
        <v>Basic</v>
      </c>
      <c r="H57" s="71">
        <f>SUMIF(Row_Data[Customer_Name], E57, Row_Data[Total_Amount])</f>
        <v>1749.92</v>
      </c>
      <c r="I57" s="72">
        <f>COUNTIF(Row_Data[Customer_Name], E57)</f>
        <v>3</v>
      </c>
      <c r="J57" s="71">
        <f t="shared" si="3"/>
        <v>583.30666666666673</v>
      </c>
      <c r="K57" s="73" t="str">
        <f t="shared" si="1"/>
        <v>RB</v>
      </c>
      <c r="L57" s="69" t="str">
        <f t="shared" si="4"/>
        <v>Standard</v>
      </c>
    </row>
    <row r="58" spans="4:12" ht="19.8" customHeight="1" x14ac:dyDescent="0.3">
      <c r="D58" s="69">
        <v>44</v>
      </c>
      <c r="E58" s="70" t="str">
        <v>Sandra Phillips</v>
      </c>
      <c r="F58" s="69" t="str">
        <f>_xlfn.XLOOKUP(E58,Row_Data[Customer_Name],Row_Data[Customer_ID],"Not Found")</f>
        <v>CUST032</v>
      </c>
      <c r="G58" s="69" t="str">
        <f>_xlfn.XLOOKUP(E58,Row_Data[Customer_Name],Row_Data[Customer_Segment],"Not Found")</f>
        <v>Premium</v>
      </c>
      <c r="H58" s="71">
        <f>SUMIF(Row_Data[Customer_Name], E58, Row_Data[Total_Amount])</f>
        <v>6349.83</v>
      </c>
      <c r="I58" s="72">
        <f>COUNTIF(Row_Data[Customer_Name], E58)</f>
        <v>5</v>
      </c>
      <c r="J58" s="71">
        <f t="shared" si="3"/>
        <v>1269.9659999999999</v>
      </c>
      <c r="K58" s="73" t="str">
        <f t="shared" si="1"/>
        <v>SP</v>
      </c>
      <c r="L58" s="69" t="str">
        <f t="shared" si="4"/>
        <v>⭐ High Value</v>
      </c>
    </row>
    <row r="59" spans="4:12" ht="19.2" customHeight="1" x14ac:dyDescent="0.3">
      <c r="D59" s="69">
        <v>45</v>
      </c>
      <c r="E59" s="70" t="str">
        <v>Sarah Davis</v>
      </c>
      <c r="F59" s="69" t="str">
        <f>_xlfn.XLOOKUP(E59,Row_Data[Customer_Name],Row_Data[Customer_ID],"Not Found")</f>
        <v>CUST004</v>
      </c>
      <c r="G59" s="69" t="str">
        <f>_xlfn.XLOOKUP(E59,Row_Data[Customer_Name],Row_Data[Customer_Segment],"Not Found")</f>
        <v>Standard</v>
      </c>
      <c r="H59" s="71">
        <f>SUMIF(Row_Data[Customer_Name], E59, Row_Data[Total_Amount])</f>
        <v>5499.8099999999995</v>
      </c>
      <c r="I59" s="72">
        <f>COUNTIF(Row_Data[Customer_Name], E59)</f>
        <v>5</v>
      </c>
      <c r="J59" s="71">
        <f t="shared" si="3"/>
        <v>1099.962</v>
      </c>
      <c r="K59" s="73" t="str">
        <f t="shared" si="1"/>
        <v>SD</v>
      </c>
      <c r="L59" s="69" t="str">
        <f t="shared" si="4"/>
        <v>⭐ High Value</v>
      </c>
    </row>
    <row r="60" spans="4:12" ht="19.2" customHeight="1" x14ac:dyDescent="0.3">
      <c r="D60" s="69">
        <v>46</v>
      </c>
      <c r="E60" s="70" t="str">
        <v>Sharon Butler</v>
      </c>
      <c r="F60" s="69" t="str">
        <f>_xlfn.XLOOKUP(E60,Row_Data[Customer_Name],Row_Data[Customer_ID],"Not Found")</f>
        <v>CUST040</v>
      </c>
      <c r="G60" s="69" t="str">
        <f>_xlfn.XLOOKUP(E60,Row_Data[Customer_Name],Row_Data[Customer_Segment],"Not Found")</f>
        <v>Basic</v>
      </c>
      <c r="H60" s="71">
        <f>SUMIF(Row_Data[Customer_Name], E60, Row_Data[Total_Amount])</f>
        <v>5619.869999999999</v>
      </c>
      <c r="I60" s="72">
        <f>COUNTIF(Row_Data[Customer_Name], E60)</f>
        <v>6</v>
      </c>
      <c r="J60" s="71">
        <f t="shared" si="3"/>
        <v>936.64499999999987</v>
      </c>
      <c r="K60" s="73" t="str">
        <f t="shared" si="1"/>
        <v>SB</v>
      </c>
      <c r="L60" s="69" t="str">
        <f t="shared" si="4"/>
        <v>⭐ High Value</v>
      </c>
    </row>
    <row r="61" spans="4:12" x14ac:dyDescent="0.3">
      <c r="D61" s="69">
        <v>47</v>
      </c>
      <c r="E61" s="70" t="str">
        <v>Steven Turner</v>
      </c>
      <c r="F61" s="69" t="str">
        <f>_xlfn.XLOOKUP(E61,Row_Data[Customer_Name],Row_Data[Customer_ID],"Not Found")</f>
        <v>CUST031</v>
      </c>
      <c r="G61" s="69" t="str">
        <f>_xlfn.XLOOKUP(E61,Row_Data[Customer_Name],Row_Data[Customer_Segment],"Not Found")</f>
        <v>Premium</v>
      </c>
      <c r="H61" s="71">
        <f>SUMIF(Row_Data[Customer_Name], E61, Row_Data[Total_Amount])</f>
        <v>2649.83</v>
      </c>
      <c r="I61" s="72">
        <f>COUNTIF(Row_Data[Customer_Name], E61)</f>
        <v>6</v>
      </c>
      <c r="J61" s="71">
        <f t="shared" si="3"/>
        <v>441.63833333333332</v>
      </c>
      <c r="K61" s="73" t="str">
        <f t="shared" si="1"/>
        <v>ST</v>
      </c>
      <c r="L61" s="69" t="str">
        <f t="shared" si="4"/>
        <v>Standard</v>
      </c>
    </row>
    <row r="62" spans="4:12" x14ac:dyDescent="0.3">
      <c r="D62" s="69">
        <v>48</v>
      </c>
      <c r="E62" s="70" t="str">
        <v>Susan Green</v>
      </c>
      <c r="F62" s="69" t="str">
        <f>_xlfn.XLOOKUP(E62,Row_Data[Customer_Name],Row_Data[Customer_ID],"Not Found")</f>
        <v>CUST022</v>
      </c>
      <c r="G62" s="69" t="str">
        <f>_xlfn.XLOOKUP(E62,Row_Data[Customer_Name],Row_Data[Customer_Segment],"Not Found")</f>
        <v>Standard</v>
      </c>
      <c r="H62" s="71">
        <f>SUMIF(Row_Data[Customer_Name], E62, Row_Data[Total_Amount])</f>
        <v>1979.89</v>
      </c>
      <c r="I62" s="72">
        <f>COUNTIF(Row_Data[Customer_Name], E62)</f>
        <v>4</v>
      </c>
      <c r="J62" s="71">
        <f t="shared" si="3"/>
        <v>494.97250000000003</v>
      </c>
      <c r="K62" s="73" t="str">
        <f t="shared" si="1"/>
        <v>SG</v>
      </c>
      <c r="L62" s="69" t="str">
        <f t="shared" si="4"/>
        <v>Standard</v>
      </c>
    </row>
    <row r="63" spans="4:12" ht="18" customHeight="1" x14ac:dyDescent="0.3">
      <c r="D63" s="69">
        <v>49</v>
      </c>
      <c r="E63" s="70" t="str">
        <v>Virginia Sanders</v>
      </c>
      <c r="F63" s="69" t="str">
        <f>_xlfn.XLOOKUP(E63,Row_Data[Customer_Name],Row_Data[Customer_ID],"Not Found")</f>
        <v>CUST048</v>
      </c>
      <c r="G63" s="69" t="str">
        <f>_xlfn.XLOOKUP(E63,Row_Data[Customer_Name],Row_Data[Customer_Segment],"Not Found")</f>
        <v>Premium</v>
      </c>
      <c r="H63" s="71">
        <f>SUMIF(Row_Data[Customer_Name], E63, Row_Data[Total_Amount])</f>
        <v>4789.7900000000009</v>
      </c>
      <c r="I63" s="72">
        <f>COUNTIF(Row_Data[Customer_Name], E63)</f>
        <v>6</v>
      </c>
      <c r="J63" s="71">
        <f t="shared" si="3"/>
        <v>798.29833333333352</v>
      </c>
      <c r="K63" s="73" t="str">
        <f t="shared" si="1"/>
        <v>VS</v>
      </c>
      <c r="L63" s="69" t="str">
        <f t="shared" si="4"/>
        <v>⭐ High Value</v>
      </c>
    </row>
    <row r="64" spans="4:12" ht="20.399999999999999" customHeight="1" x14ac:dyDescent="0.3">
      <c r="D64" s="69">
        <v>50</v>
      </c>
      <c r="E64" s="70" t="str">
        <v>William White</v>
      </c>
      <c r="F64" s="69" t="str">
        <f>_xlfn.XLOOKUP(E64,Row_Data[Customer_Name],Row_Data[Customer_ID],"Not Found")</f>
        <v>CUST011</v>
      </c>
      <c r="G64" s="69" t="str">
        <f>_xlfn.XLOOKUP(E64,Row_Data[Customer_Name],Row_Data[Customer_Segment],"Not Found")</f>
        <v>Standard</v>
      </c>
      <c r="H64" s="71">
        <f>SUMIF(Row_Data[Customer_Name], E64, Row_Data[Total_Amount])</f>
        <v>4749.91</v>
      </c>
      <c r="I64" s="72">
        <f>COUNTIF(Row_Data[Customer_Name], E64)</f>
        <v>3</v>
      </c>
      <c r="J64" s="71">
        <f t="shared" si="3"/>
        <v>1583.3033333333333</v>
      </c>
      <c r="K64" s="73" t="str">
        <f t="shared" si="1"/>
        <v>WW</v>
      </c>
      <c r="L64" s="69" t="str">
        <f t="shared" si="4"/>
        <v>⭐ High Value</v>
      </c>
    </row>
    <row r="65" spans="4:13" x14ac:dyDescent="0.3">
      <c r="G65" s="3"/>
    </row>
    <row r="66" spans="4:13" x14ac:dyDescent="0.3">
      <c r="G66" s="5"/>
    </row>
    <row r="67" spans="4:13" x14ac:dyDescent="0.3">
      <c r="D67" s="41" t="s">
        <v>421</v>
      </c>
      <c r="E67" s="41"/>
      <c r="F67" s="41"/>
      <c r="G67" s="41"/>
      <c r="H67" s="41"/>
      <c r="I67" s="41"/>
      <c r="K67" s="42" t="s">
        <v>439</v>
      </c>
      <c r="L67" s="42"/>
      <c r="M67" s="42"/>
    </row>
    <row r="68" spans="4:13" ht="27.6" x14ac:dyDescent="0.3">
      <c r="D68" s="4" t="s">
        <v>422</v>
      </c>
      <c r="E68" s="4" t="s">
        <v>6</v>
      </c>
      <c r="F68" s="4" t="s">
        <v>423</v>
      </c>
      <c r="G68" s="4" t="s">
        <v>407</v>
      </c>
      <c r="H68" s="4" t="s">
        <v>424</v>
      </c>
      <c r="I68" s="4" t="s">
        <v>425</v>
      </c>
      <c r="K68" s="21" t="s">
        <v>440</v>
      </c>
      <c r="L68" s="21" t="s">
        <v>441</v>
      </c>
      <c r="M68" s="21" t="s">
        <v>438</v>
      </c>
    </row>
    <row r="69" spans="4:13" x14ac:dyDescent="0.3">
      <c r="D69" s="74" t="str" cm="1">
        <f t="array" ref="D69:D78">_xlfn._xlws.SORT(_xlfn.UNIQUE(Row_Data[Product_Name]))</f>
        <v>Blender</v>
      </c>
      <c r="E69" s="72" t="str">
        <f>_xlfn.XLOOKUP(D69,Row_Data[Product_Name],Row_Data[Category],"Not Found")</f>
        <v>Appliances</v>
      </c>
      <c r="F69" s="72">
        <f>SUMIF(Row_Data[Product_Name],D69,Row_Data[Quantity])</f>
        <v>87</v>
      </c>
      <c r="G69" s="71">
        <f>SUMIF(Row_Data[Product_Name],D69,Row_Data[Total_Amount])</f>
        <v>5219.1299999999974</v>
      </c>
      <c r="H69" s="75">
        <f>G69/SUM(G69:G78)</f>
        <v>2.2771821430259021E-2</v>
      </c>
      <c r="I69" s="76">
        <f>RANK(F69,F69:F78,0)</f>
        <v>5</v>
      </c>
      <c r="K69" s="27" t="str" cm="1">
        <f t="array" ref="K69:K109">_xlfn._xlws.SORT(_xlfn.UNIQUE(_xlfn._xlws.FILTER(Row_Data[Customer_Name],Row_Data[Customer_Segment]="Premium")))</f>
        <v>Arthur Edwards</v>
      </c>
      <c r="L69" s="27" t="str" cm="1">
        <f t="array" ref="L69:L101">_xlfn._xlws.SORT(_xlfn._xlws.FILTER(_xlfn.UNIQUE(Row_Data[Customer_Name]), SUMIF(Row_Data[Customer_Name], _xlfn.UNIQUE(Row_Data[Customer_Name]), Row_Data[Total_Amount])&gt;3000))</f>
        <v>Barbara Young</v>
      </c>
      <c r="M69" s="27" t="str">
        <f>IF(COUNTIF($L$69:$L$109, K69)&gt;0, "✅ MATCH", "❌ No Match")</f>
        <v>❌ No Match</v>
      </c>
    </row>
    <row r="70" spans="4:13" x14ac:dyDescent="0.3">
      <c r="D70" s="74" t="str">
        <v>Bookshelf</v>
      </c>
      <c r="E70" s="72" t="str">
        <f>_xlfn.XLOOKUP(D70,Row_Data[Product_Name],Row_Data[Category],"Not Found")</f>
        <v>Furniture</v>
      </c>
      <c r="F70" s="72">
        <f>SUMIF(Row_Data[Product_Name],D70,Row_Data[Quantity])</f>
        <v>102</v>
      </c>
      <c r="G70" s="71">
        <f>SUMIF(Row_Data[Product_Name],D70,Row_Data[Total_Amount])</f>
        <v>15298.979999999994</v>
      </c>
      <c r="H70" s="75">
        <f>G70/SUM(G69:G78)</f>
        <v>6.6751669459297669E-2</v>
      </c>
      <c r="I70" s="76">
        <f>RANK(F70,F69:F78,0)</f>
        <v>1</v>
      </c>
      <c r="K70" s="27" t="str">
        <v>Barbara Young</v>
      </c>
      <c r="L70" s="27" t="str">
        <v>Betty Campbell</v>
      </c>
      <c r="M70" s="27" t="str">
        <f t="shared" ref="M70:M109" si="5">IF(COUNTIF($L$69:$L$109, K70)&gt;0, "✅ MATCH", "❌ No Match")</f>
        <v>✅ MATCH</v>
      </c>
    </row>
    <row r="71" spans="4:13" x14ac:dyDescent="0.3">
      <c r="D71" s="74" t="str">
        <v>Coffee Maker</v>
      </c>
      <c r="E71" s="72" t="str">
        <f>_xlfn.XLOOKUP(D71,Row_Data[Product_Name],Row_Data[Category],"Not Found")</f>
        <v>Appliances</v>
      </c>
      <c r="F71" s="72">
        <f>SUMIF(Row_Data[Product_Name],D71,Row_Data[Quantity])</f>
        <v>39</v>
      </c>
      <c r="G71" s="71">
        <f>SUMIF(Row_Data[Product_Name],D71,Row_Data[Total_Amount])</f>
        <v>3119.6099999999992</v>
      </c>
      <c r="H71" s="75">
        <f>G71/SUM(G69:G78)</f>
        <v>1.361131105223483E-2</v>
      </c>
      <c r="I71" s="76">
        <f>RANK(F71,F69:F78,0)</f>
        <v>10</v>
      </c>
      <c r="K71" s="27" t="str">
        <v>Betty Campbell</v>
      </c>
      <c r="L71" s="27" t="str">
        <v>Charles Allen</v>
      </c>
      <c r="M71" s="27" t="str">
        <f t="shared" si="5"/>
        <v>✅ MATCH</v>
      </c>
    </row>
    <row r="72" spans="4:13" x14ac:dyDescent="0.3">
      <c r="D72" s="74" t="str">
        <v>Desk</v>
      </c>
      <c r="E72" s="72" t="str">
        <f>_xlfn.XLOOKUP(D72,Row_Data[Product_Name],Row_Data[Category],"Not Found")</f>
        <v>Furniture</v>
      </c>
      <c r="F72" s="72">
        <f>SUMIF(Row_Data[Product_Name],D72,Row_Data[Quantity])</f>
        <v>78</v>
      </c>
      <c r="G72" s="71">
        <f>SUMIF(Row_Data[Product_Name],D72,Row_Data[Total_Amount])</f>
        <v>23399.22</v>
      </c>
      <c r="H72" s="75">
        <f>G72/SUM(G69:G78)</f>
        <v>0.10209419183797794</v>
      </c>
      <c r="I72" s="76">
        <f>RANK(F72,F69:F78,0)</f>
        <v>6</v>
      </c>
      <c r="K72" s="27" t="str">
        <v>Carol Evans</v>
      </c>
      <c r="L72" s="27" t="str">
        <v>Cynthia Price</v>
      </c>
      <c r="M72" s="27" t="str">
        <f t="shared" si="5"/>
        <v>❌ No Match</v>
      </c>
    </row>
    <row r="73" spans="4:13" x14ac:dyDescent="0.3">
      <c r="D73" s="74" t="str">
        <v>Headphones</v>
      </c>
      <c r="E73" s="72" t="str">
        <f>_xlfn.XLOOKUP(D73,Row_Data[Product_Name],Row_Data[Category],"Not Found")</f>
        <v>Electronics</v>
      </c>
      <c r="F73" s="72">
        <f>SUMIF(Row_Data[Product_Name],D73,Row_Data[Quantity])</f>
        <v>47</v>
      </c>
      <c r="G73" s="71">
        <f>SUMIF(Row_Data[Product_Name],D73,Row_Data[Total_Amount])</f>
        <v>7049.5299999999988</v>
      </c>
      <c r="H73" s="75">
        <f>G73/SUM(G69:G78)</f>
        <v>3.0758122201833243E-2</v>
      </c>
      <c r="I73" s="76">
        <f>RANK(F73,F69:F78,0)</f>
        <v>9</v>
      </c>
      <c r="K73" s="27" t="str">
        <v>Charles Allen</v>
      </c>
      <c r="L73" s="27" t="str">
        <v>Daniel King</v>
      </c>
      <c r="M73" s="27" t="str">
        <f t="shared" si="5"/>
        <v>✅ MATCH</v>
      </c>
    </row>
    <row r="74" spans="4:13" x14ac:dyDescent="0.3">
      <c r="D74" s="74" t="str">
        <v>Keyboard</v>
      </c>
      <c r="E74" s="72" t="str">
        <f>_xlfn.XLOOKUP(D74,Row_Data[Product_Name],Row_Data[Category],"Not Found")</f>
        <v>Electronics</v>
      </c>
      <c r="F74" s="72">
        <f>SUMIF(Row_Data[Product_Name],D74,Row_Data[Quantity])</f>
        <v>89</v>
      </c>
      <c r="G74" s="71">
        <f>SUMIF(Row_Data[Product_Name],D74,Row_Data[Total_Amount])</f>
        <v>8009.1099999999969</v>
      </c>
      <c r="H74" s="75">
        <f>G74/SUM(G69:G78)</f>
        <v>3.4944908966686374E-2</v>
      </c>
      <c r="I74" s="76">
        <f>RANK(F74,F69:F78,0)</f>
        <v>3</v>
      </c>
      <c r="K74" s="27" t="str">
        <v>Daniel King</v>
      </c>
      <c r="L74" s="27" t="str">
        <v>Dorothy Nelson</v>
      </c>
      <c r="M74" s="27" t="str">
        <f t="shared" si="5"/>
        <v>✅ MATCH</v>
      </c>
    </row>
    <row r="75" spans="4:13" x14ac:dyDescent="0.3">
      <c r="D75" s="74" t="str">
        <v>Laptop</v>
      </c>
      <c r="E75" s="72" t="str">
        <f>_xlfn.XLOOKUP(D75,Row_Data[Product_Name],Row_Data[Category],"Not Found")</f>
        <v>Electronics</v>
      </c>
      <c r="F75" s="72">
        <f>SUMIF(Row_Data[Product_Name],D75,Row_Data[Quantity])</f>
        <v>75</v>
      </c>
      <c r="G75" s="71">
        <f>SUMIF(Row_Data[Product_Name],D75,Row_Data[Total_Amount])</f>
        <v>67499.25</v>
      </c>
      <c r="H75" s="75">
        <f>G75/SUM(G69:G78)</f>
        <v>0.29450902117333966</v>
      </c>
      <c r="I75" s="76">
        <f>RANK(F75,F69:F78,0)</f>
        <v>7</v>
      </c>
      <c r="K75" s="27" t="str">
        <v>David Martinez</v>
      </c>
      <c r="L75" s="27" t="str">
        <v>Douglas Watson</v>
      </c>
      <c r="M75" s="27" t="str">
        <f t="shared" si="5"/>
        <v>❌ No Match</v>
      </c>
    </row>
    <row r="76" spans="4:13" x14ac:dyDescent="0.3">
      <c r="D76" s="74" t="str">
        <v>Monitor</v>
      </c>
      <c r="E76" s="72" t="str">
        <f>_xlfn.XLOOKUP(D76,Row_Data[Product_Name],Row_Data[Category],"Not Found")</f>
        <v>Electronics</v>
      </c>
      <c r="F76" s="72">
        <f>SUMIF(Row_Data[Product_Name],D76,Row_Data[Quantity])</f>
        <v>88</v>
      </c>
      <c r="G76" s="71">
        <f>SUMIF(Row_Data[Product_Name],D76,Row_Data[Total_Amount])</f>
        <v>21999.119999999999</v>
      </c>
      <c r="H76" s="75">
        <f>G76/SUM(G69:G78)</f>
        <v>9.5985352398357593E-2</v>
      </c>
      <c r="I76" s="76">
        <f>RANK(F76,F69:F78,0)</f>
        <v>4</v>
      </c>
      <c r="K76" s="27" t="str">
        <v>Dennis Gray</v>
      </c>
      <c r="L76" s="27" t="str">
        <v>Edward Mitchell</v>
      </c>
      <c r="M76" s="27" t="str">
        <f t="shared" si="5"/>
        <v>❌ No Match</v>
      </c>
    </row>
    <row r="77" spans="4:13" x14ac:dyDescent="0.3">
      <c r="D77" s="74" t="str">
        <v>Office Chair</v>
      </c>
      <c r="E77" s="72" t="str">
        <f>_xlfn.XLOOKUP(D77,Row_Data[Product_Name],Row_Data[Category],"Not Found")</f>
        <v>Furniture</v>
      </c>
      <c r="F77" s="72">
        <f>SUMIF(Row_Data[Product_Name],D77,Row_Data[Quantity])</f>
        <v>52</v>
      </c>
      <c r="G77" s="71">
        <f>SUMIF(Row_Data[Product_Name],D77,Row_Data[Total_Amount])</f>
        <v>10399.479999999998</v>
      </c>
      <c r="H77" s="75">
        <f>G77/SUM(G69:G78)</f>
        <v>4.5374440093952473E-2</v>
      </c>
      <c r="I77" s="76">
        <f>RANK(F77,F69:F78,0)</f>
        <v>8</v>
      </c>
      <c r="K77" s="27" t="str">
        <v>Dorothy Nelson</v>
      </c>
      <c r="L77" s="27" t="str">
        <v>Elizabeth Hall</v>
      </c>
      <c r="M77" s="27" t="str">
        <f t="shared" si="5"/>
        <v>✅ MATCH</v>
      </c>
    </row>
    <row r="78" spans="4:13" x14ac:dyDescent="0.3">
      <c r="D78" s="74" t="str">
        <v>Smartphone</v>
      </c>
      <c r="E78" s="72" t="str">
        <f>_xlfn.XLOOKUP(D78,Row_Data[Product_Name],Row_Data[Category],"Not Found")</f>
        <v>Electronics</v>
      </c>
      <c r="F78" s="72">
        <f>SUMIF(Row_Data[Product_Name],D78,Row_Data[Quantity])</f>
        <v>96</v>
      </c>
      <c r="G78" s="71">
        <f>SUMIF(Row_Data[Product_Name],D78,Row_Data[Total_Amount])</f>
        <v>67199.039999999994</v>
      </c>
      <c r="H78" s="75">
        <f>G78/SUM(G69:G78)</f>
        <v>0.29319916138606122</v>
      </c>
      <c r="I78" s="76">
        <f>RANK(F78,F69:F78,0)</f>
        <v>2</v>
      </c>
      <c r="K78" s="27" t="str">
        <v>Douglas Watson</v>
      </c>
      <c r="L78" s="27" t="str">
        <v>George Adams</v>
      </c>
      <c r="M78" s="27" t="str">
        <f t="shared" si="5"/>
        <v>✅ MATCH</v>
      </c>
    </row>
    <row r="79" spans="4:13" x14ac:dyDescent="0.3">
      <c r="K79" s="27" t="str">
        <v>Edward Mitchell</v>
      </c>
      <c r="L79" s="27" t="str">
        <v>Gerald Murphy</v>
      </c>
      <c r="M79" s="27" t="str">
        <f t="shared" si="5"/>
        <v>✅ MATCH</v>
      </c>
    </row>
    <row r="80" spans="4:13" x14ac:dyDescent="0.3">
      <c r="K80" s="27" t="str">
        <v>Elizabeth Hall</v>
      </c>
      <c r="L80" s="27" t="str">
        <v>Harry Morgan</v>
      </c>
      <c r="M80" s="27" t="str">
        <f t="shared" si="5"/>
        <v>✅ MATCH</v>
      </c>
    </row>
    <row r="81" spans="4:13" x14ac:dyDescent="0.3">
      <c r="D81" s="41" t="s">
        <v>426</v>
      </c>
      <c r="E81" s="49"/>
      <c r="F81" s="49"/>
      <c r="G81" s="49"/>
      <c r="H81" s="49"/>
      <c r="I81" s="49"/>
      <c r="K81" s="27" t="str">
        <v>Emma Wilson</v>
      </c>
      <c r="L81" s="27" t="str">
        <v>Helen Roberts</v>
      </c>
      <c r="M81" s="27" t="str">
        <f t="shared" si="5"/>
        <v>❌ No Match</v>
      </c>
    </row>
    <row r="82" spans="4:13" ht="27.6" x14ac:dyDescent="0.3">
      <c r="D82" s="4" t="s">
        <v>10</v>
      </c>
      <c r="E82" s="4" t="s">
        <v>407</v>
      </c>
      <c r="F82" s="4" t="s">
        <v>417</v>
      </c>
      <c r="G82" s="4" t="s">
        <v>418</v>
      </c>
      <c r="H82" s="4" t="s">
        <v>427</v>
      </c>
      <c r="I82" s="4" t="s">
        <v>413</v>
      </c>
      <c r="K82" s="27" t="str">
        <v>Frank Torres</v>
      </c>
      <c r="L82" s="27" t="str">
        <v>Jennifer Taylor</v>
      </c>
      <c r="M82" s="27" t="str">
        <f t="shared" si="5"/>
        <v>❌ No Match</v>
      </c>
    </row>
    <row r="83" spans="4:13" x14ac:dyDescent="0.3">
      <c r="D83" s="74" t="str" cm="1">
        <f t="array" ref="D83:D87">_xlfn._xlws.SORT(_xlfn.UNIQUE(Row_Data[Region]))</f>
        <v>Central</v>
      </c>
      <c r="E83" s="71">
        <f>SUMIF(Row_Data[Region],D83,Row_Data[Total_Amount])</f>
        <v>41288.340000000018</v>
      </c>
      <c r="F83" s="69">
        <f>COUNTIF(Row_Data[Region],D83)</f>
        <v>54</v>
      </c>
      <c r="G83" s="71">
        <f>E83/F83</f>
        <v>764.59888888888918</v>
      </c>
      <c r="H83" s="75">
        <f>E83/SUM(E83:E87)</f>
        <v>0.18014701791904422</v>
      </c>
      <c r="I83" s="77">
        <f>RANK(E83,E83:E87,0)</f>
        <v>4</v>
      </c>
      <c r="K83" s="27" t="str">
        <v>Gerald Murphy</v>
      </c>
      <c r="L83" s="27" t="str">
        <v>Joseph Jackson</v>
      </c>
      <c r="M83" s="27" t="str">
        <f t="shared" si="5"/>
        <v>✅ MATCH</v>
      </c>
    </row>
    <row r="84" spans="4:13" x14ac:dyDescent="0.3">
      <c r="D84" s="74" t="str">
        <v>East</v>
      </c>
      <c r="E84" s="71">
        <f>SUMIF(Row_Data[Region],D84,Row_Data[Total_Amount])</f>
        <v>59288.389999999992</v>
      </c>
      <c r="F84" s="69">
        <f>COUNTIF(Row_Data[Region],D84)</f>
        <v>48</v>
      </c>
      <c r="G84" s="71">
        <f>E84/F84</f>
        <v>1235.1747916666666</v>
      </c>
      <c r="H84" s="75">
        <f>E84/SUM(E83:E87)</f>
        <v>0.25868384768487368</v>
      </c>
      <c r="I84" s="77">
        <f>RANK(E84,E83:E87,0)</f>
        <v>1</v>
      </c>
      <c r="K84" s="27" t="str">
        <v>Harry Morgan</v>
      </c>
      <c r="L84" s="27" t="str">
        <v>Karen Hill</v>
      </c>
      <c r="M84" s="27" t="str">
        <f t="shared" si="5"/>
        <v>✅ MATCH</v>
      </c>
    </row>
    <row r="85" spans="4:13" x14ac:dyDescent="0.3">
      <c r="D85" s="74" t="str">
        <v>North</v>
      </c>
      <c r="E85" s="71">
        <f>SUMIF(Row_Data[Region],D85,Row_Data[Total_Amount])</f>
        <v>50808.310000000012</v>
      </c>
      <c r="F85" s="69">
        <f>COUNTIF(Row_Data[Region],D85)</f>
        <v>59</v>
      </c>
      <c r="G85" s="71">
        <f>E85/F85</f>
        <v>861.15779661016973</v>
      </c>
      <c r="H85" s="75">
        <f>E85/SUM(E83:E87)</f>
        <v>0.221684028275449</v>
      </c>
      <c r="I85" s="77">
        <f>RANK(E85,E83:E87,0)</f>
        <v>2</v>
      </c>
      <c r="K85" s="27" t="str">
        <v>James Johnson</v>
      </c>
      <c r="L85" s="27" t="str">
        <v>Kathleen Bennett</v>
      </c>
      <c r="M85" s="27" t="str">
        <f t="shared" si="5"/>
        <v>❌ No Match</v>
      </c>
    </row>
    <row r="86" spans="4:13" x14ac:dyDescent="0.3">
      <c r="D86" s="74" t="str">
        <v>South</v>
      </c>
      <c r="E86" s="71">
        <f>SUMIF(Row_Data[Region],D86,Row_Data[Total_Amount])</f>
        <v>36398.750000000007</v>
      </c>
      <c r="F86" s="69">
        <f>COUNTIF(Row_Data[Region],D86)</f>
        <v>42</v>
      </c>
      <c r="G86" s="71">
        <f>E86/F86</f>
        <v>866.63690476190493</v>
      </c>
      <c r="H86" s="75">
        <f>E86/SUM(E83:E87)</f>
        <v>0.1588130273215346</v>
      </c>
      <c r="I86" s="77">
        <f>RANK(E86,E83:E87,0)</f>
        <v>5</v>
      </c>
      <c r="K86" s="27" t="str">
        <v>Joseph Jackson</v>
      </c>
      <c r="L86" s="27" t="str">
        <v>Kevin Scott</v>
      </c>
      <c r="M86" s="27" t="str">
        <f t="shared" si="5"/>
        <v>✅ MATCH</v>
      </c>
    </row>
    <row r="87" spans="4:13" x14ac:dyDescent="0.3">
      <c r="D87" s="74" t="str">
        <v>West</v>
      </c>
      <c r="E87" s="71">
        <f>SUMIF(Row_Data[Region],D87,Row_Data[Total_Amount])</f>
        <v>41408.680000000015</v>
      </c>
      <c r="F87" s="69">
        <f>COUNTIF(Row_Data[Region],D87)</f>
        <v>47</v>
      </c>
      <c r="G87" s="71">
        <f>E87/F87</f>
        <v>881.03574468085139</v>
      </c>
      <c r="H87" s="75">
        <f>E87/SUM(E83:E87)</f>
        <v>0.18067207879909844</v>
      </c>
      <c r="I87" s="77">
        <f>RANK(E87,E83:E87,0)</f>
        <v>3</v>
      </c>
      <c r="K87" s="27" t="str">
        <v>Karen Hill</v>
      </c>
      <c r="L87" s="27" t="str">
        <v>Lawrence Reed</v>
      </c>
      <c r="M87" s="27" t="str">
        <f t="shared" si="5"/>
        <v>✅ MATCH</v>
      </c>
    </row>
    <row r="88" spans="4:13" x14ac:dyDescent="0.3">
      <c r="K88" s="27" t="str">
        <v>Kathleen Bennett</v>
      </c>
      <c r="L88" s="27" t="str">
        <v>Mark Carter</v>
      </c>
      <c r="M88" s="27" t="str">
        <f t="shared" si="5"/>
        <v>✅ MATCH</v>
      </c>
    </row>
    <row r="89" spans="4:13" x14ac:dyDescent="0.3">
      <c r="K89" s="27" t="str">
        <v>Kevin Scott</v>
      </c>
      <c r="L89" s="27" t="str">
        <v>Michael Brown</v>
      </c>
      <c r="M89" s="27" t="str">
        <f t="shared" si="5"/>
        <v>✅ MATCH</v>
      </c>
    </row>
    <row r="90" spans="4:13" x14ac:dyDescent="0.3">
      <c r="D90" s="41" t="s">
        <v>428</v>
      </c>
      <c r="E90" s="41"/>
      <c r="F90" s="41"/>
      <c r="G90" s="41"/>
      <c r="K90" s="27" t="str">
        <v>Lawrence Reed</v>
      </c>
      <c r="L90" s="27" t="str">
        <v>Michelle Rogers</v>
      </c>
      <c r="M90" s="27" t="str">
        <f t="shared" si="5"/>
        <v>✅ MATCH</v>
      </c>
    </row>
    <row r="91" spans="4:13" ht="34.799999999999997" customHeight="1" x14ac:dyDescent="0.3">
      <c r="D91" s="4" t="s">
        <v>429</v>
      </c>
      <c r="E91" s="4" t="s">
        <v>430</v>
      </c>
      <c r="F91" s="4" t="s">
        <v>407</v>
      </c>
      <c r="G91" s="4" t="s">
        <v>431</v>
      </c>
      <c r="K91" s="27" t="str">
        <v>Linda Martin</v>
      </c>
      <c r="L91" s="27" t="str">
        <v>Nancy Collins</v>
      </c>
      <c r="M91" s="27" t="str">
        <f t="shared" si="5"/>
        <v>❌ No Match</v>
      </c>
    </row>
    <row r="92" spans="4:13" x14ac:dyDescent="0.3">
      <c r="D92" s="74" t="str" cm="1">
        <f t="array" ref="D92:D95">_xlfn._xlws.SORT(_xlfn.UNIQUE(Row_Data[Payment_Method]))</f>
        <v>Cash</v>
      </c>
      <c r="E92" s="72">
        <f>COUNTIF(Row_Data[Payment_Method],D92)</f>
        <v>76</v>
      </c>
      <c r="F92" s="71">
        <f>SUMIF(Row_Data[Payment_Method],D92,Row_Data[Total_Amount])</f>
        <v>57427.790000000023</v>
      </c>
      <c r="G92" s="75">
        <f>E92/SUM(E92:E95)</f>
        <v>0.30399999999999999</v>
      </c>
      <c r="K92" s="27" t="str">
        <v>Lisa Anderson</v>
      </c>
      <c r="L92" s="27" t="str">
        <v>Patricia Moore</v>
      </c>
      <c r="M92" s="27" t="str">
        <f t="shared" si="5"/>
        <v>❌ No Match</v>
      </c>
    </row>
    <row r="93" spans="4:13" x14ac:dyDescent="0.3">
      <c r="D93" s="74" t="str">
        <v>Credit Card</v>
      </c>
      <c r="E93" s="72">
        <f>COUNTIF(Row_Data[Payment_Method],D93)</f>
        <v>68</v>
      </c>
      <c r="F93" s="71">
        <f>SUMIF(Row_Data[Payment_Method],D93,Row_Data[Total_Amount])</f>
        <v>61447.960000000014</v>
      </c>
      <c r="G93" s="75">
        <f>E93/SUM(E92:E95)</f>
        <v>0.27200000000000002</v>
      </c>
      <c r="K93" s="27" t="str">
        <v>Margaret Wright</v>
      </c>
      <c r="L93" s="27" t="str">
        <v>Paul Baker</v>
      </c>
      <c r="M93" s="27" t="str">
        <f t="shared" si="5"/>
        <v>❌ No Match</v>
      </c>
    </row>
    <row r="94" spans="4:13" x14ac:dyDescent="0.3">
      <c r="D94" s="74" t="str">
        <v>Debit Card</v>
      </c>
      <c r="E94" s="72">
        <f>COUNTIF(Row_Data[Payment_Method],D94)</f>
        <v>54</v>
      </c>
      <c r="F94" s="71">
        <f>SUMIF(Row_Data[Payment_Method],D94,Row_Data[Total_Amount])</f>
        <v>52118.310000000005</v>
      </c>
      <c r="G94" s="75">
        <f>E94/SUM(E92:E95)</f>
        <v>0.216</v>
      </c>
      <c r="K94" s="27" t="str">
        <v>Maria Garcia</v>
      </c>
      <c r="L94" s="27" t="str">
        <v>Peter Richardson</v>
      </c>
      <c r="M94" s="27" t="str">
        <f t="shared" si="5"/>
        <v>❌ No Match</v>
      </c>
    </row>
    <row r="95" spans="4:13" x14ac:dyDescent="0.3">
      <c r="D95" s="74" t="str">
        <v>PayPal</v>
      </c>
      <c r="E95" s="72">
        <f>COUNTIF(Row_Data[Payment_Method],D95)</f>
        <v>52</v>
      </c>
      <c r="F95" s="71">
        <f>SUMIF(Row_Data[Payment_Method],D95,Row_Data[Total_Amount])</f>
        <v>58198.409999999996</v>
      </c>
      <c r="G95" s="75">
        <f>E95/SUM(E92:E95)</f>
        <v>0.20799999999999999</v>
      </c>
      <c r="K95" s="27" t="str">
        <v>Mark Carter</v>
      </c>
      <c r="L95" s="27" t="str">
        <v>Raymond Ross</v>
      </c>
      <c r="M95" s="27" t="str">
        <f t="shared" si="5"/>
        <v>✅ MATCH</v>
      </c>
    </row>
    <row r="96" spans="4:13" x14ac:dyDescent="0.3">
      <c r="K96" s="27" t="str">
        <v>Michael Brown</v>
      </c>
      <c r="L96" s="27" t="str">
        <v>Robert Thomas</v>
      </c>
      <c r="M96" s="27" t="str">
        <f t="shared" si="5"/>
        <v>✅ MATCH</v>
      </c>
    </row>
    <row r="97" spans="4:13" x14ac:dyDescent="0.3">
      <c r="K97" s="27" t="str">
        <v>Michelle Rogers</v>
      </c>
      <c r="L97" s="27" t="str">
        <v>Sandra Phillips</v>
      </c>
      <c r="M97" s="27" t="str">
        <f t="shared" si="5"/>
        <v>✅ MATCH</v>
      </c>
    </row>
    <row r="98" spans="4:13" x14ac:dyDescent="0.3">
      <c r="D98" s="57" t="s">
        <v>432</v>
      </c>
      <c r="E98" s="58"/>
      <c r="F98" s="58"/>
      <c r="G98" s="58"/>
      <c r="H98" s="58"/>
      <c r="I98"/>
      <c r="K98" s="27" t="str">
        <v>Nancy Collins</v>
      </c>
      <c r="L98" s="27" t="str">
        <v>Sarah Davis</v>
      </c>
      <c r="M98" s="27" t="str">
        <f t="shared" si="5"/>
        <v>✅ MATCH</v>
      </c>
    </row>
    <row r="99" spans="4:13" x14ac:dyDescent="0.3">
      <c r="D99" s="4" t="s">
        <v>416</v>
      </c>
      <c r="E99" s="4" t="s">
        <v>430</v>
      </c>
      <c r="F99" s="4" t="s">
        <v>407</v>
      </c>
      <c r="G99" s="4" t="s">
        <v>433</v>
      </c>
      <c r="H99" s="4" t="s">
        <v>427</v>
      </c>
      <c r="I99"/>
      <c r="K99" s="27" t="str">
        <v>Patricia Moore</v>
      </c>
      <c r="L99" s="27" t="str">
        <v>Sharon Butler</v>
      </c>
      <c r="M99" s="27" t="str">
        <f t="shared" si="5"/>
        <v>✅ MATCH</v>
      </c>
    </row>
    <row r="100" spans="4:13" x14ac:dyDescent="0.3">
      <c r="D100" s="74" t="str" cm="1">
        <f t="array" ref="D100:D102">_xlfn._xlws.SORT(_xlfn.UNIQUE(Row_Data[Customer_Segment]))</f>
        <v>Basic</v>
      </c>
      <c r="E100" s="72">
        <f>COUNTIF(Row_Data[Customer_Segment],D100)</f>
        <v>74</v>
      </c>
      <c r="F100" s="71">
        <f>SUMIF(Row_Data[Customer_Segment],D100,Row_Data[Total_Amount])</f>
        <v>62177.810000000019</v>
      </c>
      <c r="G100" s="71">
        <f>F100/E100</f>
        <v>840.2406756756759</v>
      </c>
      <c r="H100" s="75">
        <f>F100/SUM($F$100:$F$102)</f>
        <v>0.27129080636898761</v>
      </c>
      <c r="I100"/>
      <c r="K100" s="27" t="str">
        <v>Paul Baker</v>
      </c>
      <c r="L100" s="27" t="str">
        <v>Virginia Sanders</v>
      </c>
      <c r="M100" s="27" t="str">
        <f t="shared" si="5"/>
        <v>✅ MATCH</v>
      </c>
    </row>
    <row r="101" spans="4:13" x14ac:dyDescent="0.3">
      <c r="D101" s="74" t="str">
        <v>Premium</v>
      </c>
      <c r="E101" s="72">
        <f>COUNTIF(Row_Data[Customer_Segment],D101)</f>
        <v>95</v>
      </c>
      <c r="F101" s="71">
        <f>SUMIF(Row_Data[Customer_Segment],D101,Row_Data[Total_Amount])</f>
        <v>84657.12000000001</v>
      </c>
      <c r="G101" s="71">
        <f t="shared" ref="G101:G102" si="6">F101/E101</f>
        <v>891.12757894736853</v>
      </c>
      <c r="H101" s="75">
        <f t="shared" ref="H101:H102" si="7">F101/SUM($F$100:$F$102)</f>
        <v>0.36937129740780744</v>
      </c>
      <c r="I101"/>
      <c r="K101" s="27" t="str">
        <v>Peter Richardson</v>
      </c>
      <c r="L101" s="27" t="str">
        <v>William White</v>
      </c>
      <c r="M101" s="27" t="str">
        <f t="shared" si="5"/>
        <v>✅ MATCH</v>
      </c>
    </row>
    <row r="102" spans="4:13" x14ac:dyDescent="0.3">
      <c r="D102" s="74" t="str">
        <v>Standard</v>
      </c>
      <c r="E102" s="72">
        <f>COUNTIF(Row_Data[Customer_Segment],D102)</f>
        <v>81</v>
      </c>
      <c r="F102" s="71">
        <f>SUMIF(Row_Data[Customer_Segment],D102,Row_Data[Total_Amount])</f>
        <v>82357.540000000037</v>
      </c>
      <c r="G102" s="71">
        <f t="shared" si="6"/>
        <v>1016.7597530864202</v>
      </c>
      <c r="H102" s="75">
        <f t="shared" si="7"/>
        <v>0.35933789622320494</v>
      </c>
      <c r="I102"/>
      <c r="K102" s="27" t="str">
        <v>Richard Lee</v>
      </c>
      <c r="L102" s="27"/>
      <c r="M102" s="27" t="str">
        <f t="shared" si="5"/>
        <v>❌ No Match</v>
      </c>
    </row>
    <row r="103" spans="4:13" x14ac:dyDescent="0.3">
      <c r="K103" s="27" t="str">
        <v>Robert Thomas</v>
      </c>
      <c r="L103" s="27"/>
      <c r="M103" s="27" t="str">
        <f t="shared" si="5"/>
        <v>✅ MATCH</v>
      </c>
    </row>
    <row r="104" spans="4:13" x14ac:dyDescent="0.3">
      <c r="K104" s="27" t="str">
        <v>Ruth Brooks</v>
      </c>
      <c r="L104" s="27"/>
      <c r="M104" s="27" t="str">
        <f t="shared" si="5"/>
        <v>❌ No Match</v>
      </c>
    </row>
    <row r="105" spans="4:13" x14ac:dyDescent="0.3">
      <c r="D105" s="50" t="s">
        <v>434</v>
      </c>
      <c r="E105" s="51"/>
      <c r="F105" s="51"/>
      <c r="G105" s="51"/>
      <c r="H105" s="51"/>
      <c r="K105" s="27" t="str">
        <v>Sandra Phillips</v>
      </c>
      <c r="L105" s="27"/>
      <c r="M105" s="27" t="str">
        <f t="shared" si="5"/>
        <v>✅ MATCH</v>
      </c>
    </row>
    <row r="106" spans="4:13" ht="27.6" x14ac:dyDescent="0.3">
      <c r="D106" s="4" t="s">
        <v>6</v>
      </c>
      <c r="E106" s="4" t="s">
        <v>435</v>
      </c>
      <c r="F106" s="4" t="s">
        <v>407</v>
      </c>
      <c r="G106" s="4" t="s">
        <v>436</v>
      </c>
      <c r="H106" s="4" t="s">
        <v>437</v>
      </c>
      <c r="K106" s="27" t="str">
        <v>Sharon Butler</v>
      </c>
      <c r="L106" s="27"/>
      <c r="M106" s="27" t="str">
        <f t="shared" si="5"/>
        <v>✅ MATCH</v>
      </c>
    </row>
    <row r="107" spans="4:13" x14ac:dyDescent="0.3">
      <c r="D107" s="74" t="str" cm="1">
        <f t="array" ref="D107:D109">_xlfn._xlws.SORT(_xlfn.UNIQUE(Row_Data[Category]))</f>
        <v>Appliances</v>
      </c>
      <c r="E107" s="72">
        <f>SUMIF(Row_Data[Category],D107,Row_Data[Quantity])</f>
        <v>126</v>
      </c>
      <c r="F107" s="71">
        <f>SUMIF(Row_Data[Category],D107,Row_Data[Total_Amount])</f>
        <v>8338.7399999999961</v>
      </c>
      <c r="G107" s="75">
        <f>F107/SUM(F107:F109)</f>
        <v>3.6383132482493821E-2</v>
      </c>
      <c r="H107" s="71">
        <f>AVERAGEIF(Row_Data[Category],D107,Row_Data[Unit_Price])</f>
        <v>66.50162790697668</v>
      </c>
      <c r="K107" s="27" t="str">
        <v>Steven Turner</v>
      </c>
      <c r="L107" s="27"/>
      <c r="M107" s="27" t="str">
        <f t="shared" si="5"/>
        <v>❌ No Match</v>
      </c>
    </row>
    <row r="108" spans="4:13" x14ac:dyDescent="0.3">
      <c r="D108" s="74" t="str">
        <v>Electronics</v>
      </c>
      <c r="E108" s="72">
        <f>SUMIF(Row_Data[Category],D108,Row_Data[Quantity])</f>
        <v>395</v>
      </c>
      <c r="F108" s="71">
        <f>SUMIF(Row_Data[Category],D108,Row_Data[Total_Amount])</f>
        <v>171756.05000000013</v>
      </c>
      <c r="G108" s="75">
        <f>F108/SUM(F107:F109)</f>
        <v>0.74939656612627814</v>
      </c>
      <c r="H108" s="71">
        <f>AVERAGEIF(Row_Data[Category],D108,Row_Data[Unit_Price])</f>
        <v>421.822061068702</v>
      </c>
      <c r="K108" s="27" t="str">
        <v>Virginia Sanders</v>
      </c>
      <c r="L108" s="27"/>
      <c r="M108" s="27" t="str">
        <f t="shared" si="5"/>
        <v>✅ MATCH</v>
      </c>
    </row>
    <row r="109" spans="4:13" x14ac:dyDescent="0.3">
      <c r="D109" s="74" t="str">
        <v>Furniture</v>
      </c>
      <c r="E109" s="72">
        <f>SUMIF(Row_Data[Category],D109,Row_Data[Quantity])</f>
        <v>232</v>
      </c>
      <c r="F109" s="71">
        <f>SUMIF(Row_Data[Category],D109,Row_Data[Total_Amount])</f>
        <v>49097.680000000015</v>
      </c>
      <c r="G109" s="75">
        <f>F109/SUM(F107:F109)</f>
        <v>0.214220301391228</v>
      </c>
      <c r="H109" s="71">
        <f>AVERAGEIF(Row_Data[Category],D109,Row_Data[Unit_Price])</f>
        <v>211.17421052631562</v>
      </c>
      <c r="K109" s="27" t="str">
        <v>William White</v>
      </c>
      <c r="L109" s="27"/>
      <c r="M109" s="27" t="str">
        <f t="shared" si="5"/>
        <v>✅ MATCH</v>
      </c>
    </row>
    <row r="110" spans="4:13" x14ac:dyDescent="0.3">
      <c r="M110"/>
    </row>
    <row r="111" spans="4:13" x14ac:dyDescent="0.3">
      <c r="D111" s="42" t="s">
        <v>589</v>
      </c>
      <c r="E111" s="42"/>
      <c r="F111" s="42"/>
      <c r="G111" s="42"/>
      <c r="H111" s="42"/>
      <c r="I111" s="42"/>
      <c r="J111"/>
      <c r="K111" s="41" t="s">
        <v>443</v>
      </c>
      <c r="L111" s="41"/>
      <c r="M111" s="41"/>
    </row>
    <row r="112" spans="4:13" ht="26.4" x14ac:dyDescent="0.3">
      <c r="D112" s="29" t="s">
        <v>0</v>
      </c>
      <c r="E112" s="29" t="s">
        <v>1</v>
      </c>
      <c r="F112" s="29" t="s">
        <v>3</v>
      </c>
      <c r="G112" s="29" t="s">
        <v>5</v>
      </c>
      <c r="H112" s="29" t="s">
        <v>442</v>
      </c>
      <c r="I112" s="29" t="s">
        <v>13</v>
      </c>
      <c r="J112"/>
      <c r="K112" s="43" t="s">
        <v>407</v>
      </c>
      <c r="L112" s="44"/>
      <c r="M112" s="28">
        <f>SUM(Row_Data[Total_Amount])</f>
        <v>229192.47000000032</v>
      </c>
    </row>
    <row r="113" spans="4:13" x14ac:dyDescent="0.3">
      <c r="D113" s="23" t="str" cm="1">
        <f t="array" ref="D113:D129">_xlfn._xlws.FILTER(Row_Data[Transaction_ID],Row_Data[Total_Amount]&gt;3000)</f>
        <v>TRX0122</v>
      </c>
      <c r="E113" s="78" cm="1">
        <f t="array" ref="E113:E129">_xlfn._xlws.FILTER(Row_Data[Date],Row_Data[Total_Amount]&gt;3000)</f>
        <v>45410</v>
      </c>
      <c r="F113" s="23" t="str" cm="1">
        <f t="array" ref="F113:F129">_xlfn._xlws.FILTER(Row_Data[Customer_Name],Row_Data[Total_Amount]&gt;3000)</f>
        <v>Mark Carter</v>
      </c>
      <c r="G113" s="23" t="str" cm="1">
        <f t="array" ref="G113:G129">_xlfn._xlws.FILTER(Row_Data[Product_Name],Row_Data[Total_Amount]&gt;3000)</f>
        <v>Laptop</v>
      </c>
      <c r="H113" s="79" cm="1">
        <f t="array" ref="H113:H129">_xlfn._xlws.FILTER(Row_Data[Quantity],Row_Data[Total_Amount]&gt;3000)</f>
        <v>4</v>
      </c>
      <c r="I113" s="71" cm="1">
        <f t="array" ref="I113:I129">_xlfn._xlws.FILTER(Row_Data[Total_Amount],Row_Data[Total_Amount]&gt;3000)</f>
        <v>3599.96</v>
      </c>
      <c r="J113"/>
      <c r="K113" s="43" t="s">
        <v>447</v>
      </c>
      <c r="L113" s="44"/>
      <c r="M113" s="27">
        <f>COUNTA(Row_Data[Transaction_ID])</f>
        <v>250</v>
      </c>
    </row>
    <row r="114" spans="4:13" x14ac:dyDescent="0.3">
      <c r="D114" s="23" t="str">
        <v>TRX0231</v>
      </c>
      <c r="E114" s="78">
        <v>45412</v>
      </c>
      <c r="F114" s="23" t="str">
        <v>Barbara Young</v>
      </c>
      <c r="G114" s="23" t="str">
        <v>Smartphone</v>
      </c>
      <c r="H114" s="79">
        <v>5</v>
      </c>
      <c r="I114" s="71">
        <v>3499.95</v>
      </c>
      <c r="J114"/>
      <c r="K114" s="45" t="s">
        <v>418</v>
      </c>
      <c r="L114" s="46"/>
      <c r="M114" s="28">
        <f>AVERAGE(Row_Data[Total_Amount])</f>
        <v>916.76988000000131</v>
      </c>
    </row>
    <row r="115" spans="4:13" x14ac:dyDescent="0.3">
      <c r="D115" s="23" t="str">
        <v>TRX0015</v>
      </c>
      <c r="E115" s="78">
        <v>45440</v>
      </c>
      <c r="F115" s="23" t="str">
        <v>Jennifer Taylor</v>
      </c>
      <c r="G115" s="23" t="str">
        <v>Smartphone</v>
      </c>
      <c r="H115" s="79">
        <v>5</v>
      </c>
      <c r="I115" s="71">
        <v>3499.95</v>
      </c>
      <c r="J115"/>
      <c r="K115" s="43" t="s">
        <v>444</v>
      </c>
      <c r="L115" s="44"/>
      <c r="M115" s="27">
        <v>0.2</v>
      </c>
    </row>
    <row r="116" spans="4:13" x14ac:dyDescent="0.3">
      <c r="D116" s="23" t="str">
        <v>TRX0154</v>
      </c>
      <c r="E116" s="78">
        <v>45459</v>
      </c>
      <c r="F116" s="23" t="str">
        <v>Paul Baker</v>
      </c>
      <c r="G116" s="23" t="str">
        <v>Laptop</v>
      </c>
      <c r="H116" s="79">
        <v>5</v>
      </c>
      <c r="I116" s="71">
        <v>4499.95</v>
      </c>
      <c r="J116"/>
      <c r="K116" s="43" t="s">
        <v>445</v>
      </c>
      <c r="L116" s="44"/>
      <c r="M116" s="28">
        <f>$M$113*$M$114</f>
        <v>229192.47000000032</v>
      </c>
    </row>
    <row r="117" spans="4:13" x14ac:dyDescent="0.3">
      <c r="D117" s="23" t="str">
        <v>TRX0044</v>
      </c>
      <c r="E117" s="78">
        <v>45459</v>
      </c>
      <c r="F117" s="23" t="str">
        <v>Edward Mitchell</v>
      </c>
      <c r="G117" s="23" t="str">
        <v>Laptop</v>
      </c>
      <c r="H117" s="79">
        <v>5</v>
      </c>
      <c r="I117" s="71">
        <v>4499.95</v>
      </c>
      <c r="J117"/>
      <c r="K117" s="43" t="s">
        <v>446</v>
      </c>
      <c r="L117" s="44"/>
      <c r="M117" s="27">
        <f>$M$113*(1+$M$115)</f>
        <v>300</v>
      </c>
    </row>
    <row r="118" spans="4:13" x14ac:dyDescent="0.3">
      <c r="D118" s="23" t="str">
        <v>TRX0104</v>
      </c>
      <c r="E118" s="78">
        <v>45471</v>
      </c>
      <c r="F118" s="23" t="str">
        <v>Patricia Moore</v>
      </c>
      <c r="G118" s="23" t="str">
        <v>Laptop</v>
      </c>
      <c r="H118" s="79">
        <v>4</v>
      </c>
      <c r="I118" s="71">
        <v>3599.96</v>
      </c>
      <c r="J118"/>
      <c r="K118"/>
      <c r="L118"/>
    </row>
    <row r="119" spans="4:13" x14ac:dyDescent="0.3">
      <c r="D119" s="23" t="str">
        <v>TRX0244</v>
      </c>
      <c r="E119" s="78">
        <v>45497</v>
      </c>
      <c r="F119" s="23" t="str">
        <v>Joseph Jackson</v>
      </c>
      <c r="G119" s="23" t="str">
        <v>Laptop</v>
      </c>
      <c r="H119" s="79">
        <v>5</v>
      </c>
      <c r="I119" s="71">
        <v>4499.95</v>
      </c>
      <c r="J119"/>
      <c r="K119"/>
      <c r="L119"/>
    </row>
    <row r="120" spans="4:13" x14ac:dyDescent="0.3">
      <c r="D120" s="23" t="str">
        <v>TRX0249</v>
      </c>
      <c r="E120" s="78">
        <v>45504</v>
      </c>
      <c r="F120" s="23" t="str">
        <v>Helen Roberts</v>
      </c>
      <c r="G120" s="23" t="str">
        <v>Laptop</v>
      </c>
      <c r="H120" s="79">
        <v>4</v>
      </c>
      <c r="I120" s="71">
        <v>3599.96</v>
      </c>
      <c r="J120"/>
      <c r="K120"/>
      <c r="L120"/>
    </row>
    <row r="121" spans="4:13" x14ac:dyDescent="0.3">
      <c r="D121" s="23" t="str">
        <v>TRX0132</v>
      </c>
      <c r="E121" s="78">
        <v>45523</v>
      </c>
      <c r="F121" s="23" t="str">
        <v>Gerald Murphy</v>
      </c>
      <c r="G121" s="23" t="str">
        <v>Laptop</v>
      </c>
      <c r="H121" s="79">
        <v>5</v>
      </c>
      <c r="I121" s="71">
        <v>4499.95</v>
      </c>
      <c r="J121"/>
      <c r="K121"/>
      <c r="L121"/>
    </row>
    <row r="122" spans="4:13" x14ac:dyDescent="0.3">
      <c r="D122" s="23" t="str">
        <v>TRX0173</v>
      </c>
      <c r="E122" s="78">
        <v>45581</v>
      </c>
      <c r="F122" s="23" t="str">
        <v>Barbara Young</v>
      </c>
      <c r="G122" s="23" t="str">
        <v>Smartphone</v>
      </c>
      <c r="H122" s="79">
        <v>5</v>
      </c>
      <c r="I122" s="71">
        <v>3499.95</v>
      </c>
      <c r="J122"/>
      <c r="K122"/>
      <c r="L122"/>
    </row>
    <row r="123" spans="4:13" x14ac:dyDescent="0.3">
      <c r="D123" s="23" t="str">
        <v>TRX0167</v>
      </c>
      <c r="E123" s="78">
        <v>45589</v>
      </c>
      <c r="F123" s="23" t="str">
        <v>Betty Campbell</v>
      </c>
      <c r="G123" s="23" t="str">
        <v>Smartphone</v>
      </c>
      <c r="H123" s="79">
        <v>5</v>
      </c>
      <c r="I123" s="71">
        <v>3499.95</v>
      </c>
      <c r="J123"/>
      <c r="K123"/>
      <c r="L123"/>
    </row>
    <row r="124" spans="4:13" x14ac:dyDescent="0.3">
      <c r="D124" s="23" t="str">
        <v>TRX0201</v>
      </c>
      <c r="E124" s="78">
        <v>45627</v>
      </c>
      <c r="F124" s="23" t="str">
        <v>Mark Carter</v>
      </c>
      <c r="G124" s="23" t="str">
        <v>Smartphone</v>
      </c>
      <c r="H124" s="79">
        <v>5</v>
      </c>
      <c r="I124" s="71">
        <v>3499.95</v>
      </c>
      <c r="J124"/>
      <c r="K124"/>
      <c r="L124"/>
    </row>
    <row r="125" spans="4:13" x14ac:dyDescent="0.3">
      <c r="D125" s="23" t="str">
        <v>TRX0163</v>
      </c>
      <c r="E125" s="78">
        <v>45645</v>
      </c>
      <c r="F125" s="23" t="str">
        <v>Daniel King</v>
      </c>
      <c r="G125" s="23" t="str">
        <v>Laptop</v>
      </c>
      <c r="H125" s="79">
        <v>5</v>
      </c>
      <c r="I125" s="71">
        <v>4499.95</v>
      </c>
      <c r="J125"/>
      <c r="K125"/>
      <c r="L125"/>
    </row>
    <row r="126" spans="4:13" x14ac:dyDescent="0.3">
      <c r="D126" s="23" t="str">
        <v>TRX0030</v>
      </c>
      <c r="E126" s="78">
        <v>45686</v>
      </c>
      <c r="F126" s="23" t="str">
        <v>William White</v>
      </c>
      <c r="G126" s="23" t="str">
        <v>Laptop</v>
      </c>
      <c r="H126" s="79">
        <v>4</v>
      </c>
      <c r="I126" s="71">
        <v>3599.96</v>
      </c>
      <c r="J126"/>
      <c r="K126"/>
      <c r="L126"/>
    </row>
    <row r="127" spans="4:13" x14ac:dyDescent="0.3">
      <c r="D127" s="23" t="str">
        <v>TRX0179</v>
      </c>
      <c r="E127" s="78">
        <v>45707</v>
      </c>
      <c r="F127" s="23" t="str">
        <v>Edward Mitchell</v>
      </c>
      <c r="G127" s="23" t="str">
        <v>Smartphone</v>
      </c>
      <c r="H127" s="79">
        <v>5</v>
      </c>
      <c r="I127" s="71">
        <v>3499.95</v>
      </c>
      <c r="J127"/>
      <c r="K127"/>
      <c r="L127"/>
    </row>
    <row r="128" spans="4:13" x14ac:dyDescent="0.3">
      <c r="D128" s="23" t="str">
        <v>TRX0226</v>
      </c>
      <c r="E128" s="78">
        <v>45720</v>
      </c>
      <c r="F128" s="27" t="str">
        <v>Lawrence Reed</v>
      </c>
      <c r="G128" s="80" t="str">
        <v>Smartphone</v>
      </c>
      <c r="H128" s="80">
        <v>5</v>
      </c>
      <c r="I128" s="81">
        <v>3499.95</v>
      </c>
      <c r="J128"/>
      <c r="K128"/>
      <c r="L128"/>
    </row>
    <row r="129" spans="4:19" x14ac:dyDescent="0.3">
      <c r="D129" s="23" t="str">
        <v>TRX0016</v>
      </c>
      <c r="E129" s="78">
        <v>45724</v>
      </c>
      <c r="F129" s="27" t="str">
        <v>Harry Morgan</v>
      </c>
      <c r="G129" s="80" t="str">
        <v>Laptop</v>
      </c>
      <c r="H129" s="80">
        <v>5</v>
      </c>
      <c r="I129" s="81">
        <v>4499.95</v>
      </c>
      <c r="J129"/>
      <c r="K129"/>
      <c r="L129"/>
    </row>
    <row r="130" spans="4:19" x14ac:dyDescent="0.3">
      <c r="D130"/>
      <c r="G130"/>
      <c r="H130"/>
      <c r="I130"/>
      <c r="J130"/>
      <c r="K130"/>
      <c r="L130"/>
    </row>
    <row r="131" spans="4:19" x14ac:dyDescent="0.3">
      <c r="D131" s="42" t="s">
        <v>471</v>
      </c>
      <c r="E131" s="42"/>
      <c r="F131" s="42"/>
      <c r="G131" s="42"/>
      <c r="H131" s="42"/>
      <c r="I131" s="42"/>
      <c r="J131" s="42"/>
      <c r="K131" s="42"/>
      <c r="L131" s="42"/>
      <c r="M131"/>
      <c r="N131"/>
      <c r="O131"/>
      <c r="P131"/>
      <c r="Q131"/>
      <c r="R131"/>
      <c r="S131"/>
    </row>
    <row r="132" spans="4:19" x14ac:dyDescent="0.3">
      <c r="D132"/>
      <c r="E132"/>
      <c r="F132"/>
      <c r="G132"/>
      <c r="H132"/>
      <c r="I132"/>
      <c r="J132"/>
      <c r="K132"/>
      <c r="L132"/>
    </row>
    <row r="133" spans="4:19" x14ac:dyDescent="0.3">
      <c r="D133" s="47" t="s">
        <v>448</v>
      </c>
      <c r="E133" s="48"/>
      <c r="F133"/>
      <c r="G133" s="41" t="s">
        <v>454</v>
      </c>
      <c r="H133" s="41"/>
      <c r="I133" s="41"/>
      <c r="J133" s="41"/>
      <c r="K133" s="41"/>
      <c r="L133" s="41"/>
    </row>
    <row r="134" spans="4:19" x14ac:dyDescent="0.3">
      <c r="D134" s="22" t="s">
        <v>449</v>
      </c>
      <c r="E134" s="27">
        <v>0.45809869406349091</v>
      </c>
      <c r="F134"/>
      <c r="G134" s="6"/>
      <c r="H134" s="31" t="s">
        <v>459</v>
      </c>
      <c r="I134" s="31" t="s">
        <v>460</v>
      </c>
      <c r="J134" s="31" t="s">
        <v>461</v>
      </c>
      <c r="K134" s="31" t="s">
        <v>462</v>
      </c>
      <c r="L134" s="31" t="s">
        <v>463</v>
      </c>
    </row>
    <row r="135" spans="4:19" x14ac:dyDescent="0.3">
      <c r="D135" s="22" t="s">
        <v>450</v>
      </c>
      <c r="E135" s="27">
        <v>0.20985441350267586</v>
      </c>
      <c r="F135"/>
      <c r="G135" s="26" t="s">
        <v>455</v>
      </c>
      <c r="H135" s="82">
        <v>1</v>
      </c>
      <c r="I135" s="82">
        <v>55694513.010666132</v>
      </c>
      <c r="J135" s="82">
        <v>55694513.010666132</v>
      </c>
      <c r="K135" s="82">
        <v>65.600619709765951</v>
      </c>
      <c r="L135" s="82">
        <v>2.5391277291094679E-14</v>
      </c>
    </row>
    <row r="136" spans="4:19" x14ac:dyDescent="0.3">
      <c r="D136" s="22" t="s">
        <v>451</v>
      </c>
      <c r="E136" s="27">
        <v>0.20665544351685675</v>
      </c>
      <c r="F136"/>
      <c r="G136" s="26" t="s">
        <v>456</v>
      </c>
      <c r="H136" s="82">
        <v>247</v>
      </c>
      <c r="I136" s="82">
        <v>209701444.50611952</v>
      </c>
      <c r="J136" s="82">
        <v>848993.70245392516</v>
      </c>
      <c r="K136" s="82"/>
      <c r="L136" s="82"/>
    </row>
    <row r="137" spans="4:19" x14ac:dyDescent="0.3">
      <c r="D137" s="22" t="s">
        <v>452</v>
      </c>
      <c r="E137" s="27">
        <v>921.40854264214693</v>
      </c>
      <c r="F137"/>
      <c r="G137" s="26" t="s">
        <v>457</v>
      </c>
      <c r="H137" s="82">
        <v>248</v>
      </c>
      <c r="I137" s="82">
        <v>265395957.51678565</v>
      </c>
      <c r="J137" s="82"/>
      <c r="K137" s="82"/>
      <c r="L137" s="82"/>
    </row>
    <row r="138" spans="4:19" x14ac:dyDescent="0.3">
      <c r="D138" s="22" t="s">
        <v>453</v>
      </c>
      <c r="E138" s="27">
        <v>249</v>
      </c>
      <c r="F138"/>
      <c r="G138"/>
      <c r="H138"/>
      <c r="I138"/>
      <c r="J138"/>
      <c r="K138"/>
      <c r="L138"/>
    </row>
    <row r="139" spans="4:19" x14ac:dyDescent="0.3">
      <c r="D139"/>
      <c r="E139"/>
      <c r="F139"/>
      <c r="G139"/>
      <c r="H139"/>
      <c r="I139"/>
      <c r="J139"/>
      <c r="K139"/>
      <c r="L139"/>
    </row>
    <row r="140" spans="4:19" x14ac:dyDescent="0.3">
      <c r="D140" s="7"/>
      <c r="E140" s="30" t="s">
        <v>464</v>
      </c>
      <c r="F140" s="30" t="s">
        <v>452</v>
      </c>
      <c r="G140" s="30" t="s">
        <v>465</v>
      </c>
      <c r="H140" s="30" t="s">
        <v>466</v>
      </c>
      <c r="I140" s="30" t="s">
        <v>467</v>
      </c>
      <c r="J140" s="30" t="s">
        <v>468</v>
      </c>
      <c r="K140" s="30" t="s">
        <v>469</v>
      </c>
      <c r="L140" s="30" t="s">
        <v>470</v>
      </c>
    </row>
    <row r="141" spans="4:19" x14ac:dyDescent="0.3">
      <c r="D141" s="30" t="s">
        <v>458</v>
      </c>
      <c r="E141" s="83">
        <v>-148.188562763997</v>
      </c>
      <c r="F141" s="83">
        <v>143.94399015159905</v>
      </c>
      <c r="G141" s="83">
        <v>-1.029487668140417</v>
      </c>
      <c r="H141" s="83">
        <v>0.30425761488766012</v>
      </c>
      <c r="I141" s="83">
        <v>-431.70276968654099</v>
      </c>
      <c r="J141" s="83">
        <v>135.32564415854728</v>
      </c>
      <c r="K141" s="83">
        <v>-431.70276968654099</v>
      </c>
      <c r="L141" s="83">
        <v>135.32564415854728</v>
      </c>
    </row>
    <row r="142" spans="4:19" x14ac:dyDescent="0.3">
      <c r="D142" s="30">
        <v>3</v>
      </c>
      <c r="E142" s="83">
        <v>353.78860283764737</v>
      </c>
      <c r="F142" s="83">
        <v>43.680727926547888</v>
      </c>
      <c r="G142" s="83">
        <v>8.099420949041118</v>
      </c>
      <c r="H142" s="83">
        <v>2.5391277291093214E-14</v>
      </c>
      <c r="I142" s="83">
        <v>267.75439659637294</v>
      </c>
      <c r="J142" s="83">
        <v>439.82280907892181</v>
      </c>
      <c r="K142" s="83">
        <v>267.75439659637294</v>
      </c>
      <c r="L142" s="83">
        <v>439.82280907892181</v>
      </c>
    </row>
    <row r="143" spans="4:19" x14ac:dyDescent="0.3">
      <c r="J143"/>
      <c r="K143"/>
      <c r="L143"/>
    </row>
    <row r="144" spans="4:19" x14ac:dyDescent="0.3">
      <c r="J144"/>
      <c r="K144"/>
      <c r="L144"/>
    </row>
    <row r="145" spans="4:12" x14ac:dyDescent="0.3">
      <c r="D145"/>
      <c r="E145"/>
      <c r="F145"/>
      <c r="G145"/>
      <c r="H145"/>
      <c r="I145"/>
      <c r="J145"/>
      <c r="K145"/>
      <c r="L145"/>
    </row>
    <row r="149" spans="4:12" x14ac:dyDescent="0.3">
      <c r="D149"/>
      <c r="E149"/>
      <c r="F149"/>
      <c r="G149"/>
      <c r="H149"/>
      <c r="I149"/>
      <c r="J149"/>
      <c r="K149"/>
      <c r="L149"/>
    </row>
    <row r="150" spans="4:12" x14ac:dyDescent="0.3">
      <c r="D150"/>
      <c r="E150"/>
      <c r="F150"/>
      <c r="G150"/>
      <c r="H150"/>
      <c r="I150"/>
      <c r="J150"/>
      <c r="K150"/>
      <c r="L150"/>
    </row>
    <row r="151" spans="4:12" x14ac:dyDescent="0.3">
      <c r="D151"/>
      <c r="E151"/>
      <c r="F151"/>
      <c r="G151"/>
      <c r="H151"/>
      <c r="I151"/>
      <c r="J151"/>
      <c r="K151"/>
      <c r="L151"/>
    </row>
    <row r="152" spans="4:12" x14ac:dyDescent="0.3">
      <c r="D152"/>
      <c r="E152"/>
      <c r="F152"/>
      <c r="G152"/>
      <c r="H152"/>
      <c r="I152"/>
      <c r="J152"/>
      <c r="K152"/>
      <c r="L152"/>
    </row>
    <row r="153" spans="4:12" x14ac:dyDescent="0.3">
      <c r="D153"/>
      <c r="E153"/>
      <c r="F153"/>
      <c r="G153"/>
      <c r="H153"/>
      <c r="I153"/>
      <c r="J153"/>
      <c r="K153"/>
      <c r="L153"/>
    </row>
    <row r="154" spans="4:12" x14ac:dyDescent="0.3">
      <c r="D154"/>
      <c r="E154"/>
      <c r="F154"/>
      <c r="G154"/>
      <c r="H154"/>
      <c r="I154"/>
      <c r="J154"/>
      <c r="K154"/>
      <c r="L154"/>
    </row>
    <row r="155" spans="4:12" x14ac:dyDescent="0.3">
      <c r="D155"/>
      <c r="E155"/>
      <c r="F155"/>
      <c r="G155"/>
      <c r="H155"/>
      <c r="I155"/>
      <c r="J155"/>
      <c r="K155"/>
      <c r="L155"/>
    </row>
    <row r="156" spans="4:12" x14ac:dyDescent="0.3">
      <c r="D156"/>
      <c r="E156"/>
      <c r="F156"/>
      <c r="G156"/>
      <c r="H156"/>
      <c r="I156"/>
      <c r="J156"/>
      <c r="K156"/>
      <c r="L156"/>
    </row>
    <row r="157" spans="4:12" x14ac:dyDescent="0.3">
      <c r="D157"/>
      <c r="E157"/>
      <c r="F157"/>
      <c r="G157"/>
      <c r="H157"/>
      <c r="I157"/>
      <c r="J157"/>
      <c r="K157"/>
      <c r="L157"/>
    </row>
    <row r="158" spans="4:12" x14ac:dyDescent="0.3">
      <c r="D158"/>
      <c r="E158"/>
      <c r="F158"/>
      <c r="G158"/>
      <c r="H158"/>
      <c r="I158"/>
      <c r="J158"/>
      <c r="K158"/>
      <c r="L158"/>
    </row>
    <row r="159" spans="4:12" x14ac:dyDescent="0.3">
      <c r="D159"/>
      <c r="E159"/>
      <c r="F159"/>
      <c r="G159"/>
      <c r="H159"/>
      <c r="I159"/>
      <c r="J159"/>
      <c r="K159"/>
      <c r="L159"/>
    </row>
    <row r="160" spans="4:12" x14ac:dyDescent="0.3">
      <c r="D160"/>
      <c r="E160"/>
      <c r="F160"/>
      <c r="G160"/>
      <c r="H160"/>
      <c r="I160"/>
      <c r="J160"/>
      <c r="K160"/>
      <c r="L160"/>
    </row>
    <row r="161" spans="4:12" x14ac:dyDescent="0.3">
      <c r="D161"/>
      <c r="E161"/>
      <c r="F161"/>
      <c r="G161"/>
      <c r="H161"/>
      <c r="I161"/>
      <c r="J161"/>
      <c r="K161"/>
      <c r="L161"/>
    </row>
    <row r="162" spans="4:12" x14ac:dyDescent="0.3">
      <c r="D162"/>
      <c r="E162"/>
      <c r="F162"/>
      <c r="G162"/>
      <c r="H162"/>
      <c r="I162"/>
      <c r="J162"/>
      <c r="K162"/>
      <c r="L162"/>
    </row>
    <row r="163" spans="4:12" x14ac:dyDescent="0.3">
      <c r="D163"/>
      <c r="E163"/>
      <c r="F163"/>
      <c r="G163"/>
      <c r="H163"/>
      <c r="I163"/>
      <c r="J163"/>
      <c r="K163"/>
      <c r="L163"/>
    </row>
    <row r="164" spans="4:12" x14ac:dyDescent="0.3">
      <c r="D164"/>
      <c r="E164"/>
      <c r="F164"/>
      <c r="G164"/>
      <c r="H164"/>
      <c r="I164"/>
      <c r="J164"/>
      <c r="K164"/>
      <c r="L164"/>
    </row>
    <row r="165" spans="4:12" x14ac:dyDescent="0.3">
      <c r="D165"/>
      <c r="E165"/>
      <c r="F165"/>
      <c r="G165"/>
      <c r="H165"/>
      <c r="I165"/>
      <c r="J165"/>
      <c r="K165"/>
      <c r="L165"/>
    </row>
    <row r="166" spans="4:12" x14ac:dyDescent="0.3">
      <c r="D166"/>
      <c r="E166"/>
      <c r="F166"/>
      <c r="G166"/>
      <c r="H166"/>
      <c r="I166"/>
      <c r="J166"/>
      <c r="K166"/>
      <c r="L166"/>
    </row>
    <row r="167" spans="4:12" x14ac:dyDescent="0.3">
      <c r="D167"/>
      <c r="E167"/>
      <c r="F167"/>
      <c r="G167"/>
      <c r="H167"/>
      <c r="I167"/>
      <c r="J167"/>
      <c r="K167"/>
      <c r="L167"/>
    </row>
    <row r="168" spans="4:12" x14ac:dyDescent="0.3">
      <c r="D168"/>
      <c r="E168"/>
      <c r="F168"/>
      <c r="G168"/>
      <c r="H168"/>
      <c r="I168"/>
      <c r="J168"/>
      <c r="K168"/>
      <c r="L168"/>
    </row>
    <row r="169" spans="4:12" x14ac:dyDescent="0.3">
      <c r="D169"/>
      <c r="E169"/>
      <c r="F169"/>
      <c r="G169"/>
      <c r="H169"/>
      <c r="I169"/>
      <c r="J169"/>
      <c r="K169"/>
      <c r="L169"/>
    </row>
    <row r="170" spans="4:12" x14ac:dyDescent="0.3">
      <c r="D170"/>
      <c r="E170"/>
      <c r="F170"/>
      <c r="G170"/>
      <c r="H170"/>
      <c r="I170"/>
      <c r="J170"/>
      <c r="K170"/>
      <c r="L170"/>
    </row>
    <row r="171" spans="4:12" x14ac:dyDescent="0.3">
      <c r="D171"/>
      <c r="E171"/>
      <c r="F171"/>
      <c r="G171"/>
      <c r="H171"/>
      <c r="I171"/>
      <c r="J171"/>
      <c r="K171"/>
      <c r="L171"/>
    </row>
    <row r="172" spans="4:12" x14ac:dyDescent="0.3">
      <c r="D172"/>
      <c r="E172"/>
      <c r="F172"/>
      <c r="G172"/>
      <c r="H172"/>
      <c r="I172"/>
      <c r="J172"/>
      <c r="K172"/>
      <c r="L172"/>
    </row>
    <row r="173" spans="4:12" x14ac:dyDescent="0.3">
      <c r="D173"/>
      <c r="E173"/>
      <c r="F173"/>
      <c r="G173"/>
      <c r="H173"/>
      <c r="I173"/>
      <c r="J173"/>
      <c r="K173"/>
      <c r="L173"/>
    </row>
    <row r="174" spans="4:12" x14ac:dyDescent="0.3">
      <c r="D174"/>
      <c r="E174"/>
      <c r="F174"/>
      <c r="G174"/>
      <c r="H174"/>
      <c r="I174"/>
      <c r="J174"/>
      <c r="K174"/>
      <c r="L174"/>
    </row>
    <row r="175" spans="4:12" x14ac:dyDescent="0.3">
      <c r="D175"/>
      <c r="E175"/>
      <c r="F175"/>
      <c r="G175"/>
      <c r="H175"/>
      <c r="I175"/>
      <c r="J175"/>
      <c r="K175"/>
      <c r="L175"/>
    </row>
    <row r="176" spans="4:12" x14ac:dyDescent="0.3">
      <c r="D176"/>
      <c r="E176"/>
      <c r="F176"/>
      <c r="G176"/>
      <c r="H176"/>
      <c r="I176"/>
      <c r="J176"/>
      <c r="K176"/>
      <c r="L176"/>
    </row>
    <row r="177" spans="4:12" x14ac:dyDescent="0.3">
      <c r="D177"/>
      <c r="E177"/>
      <c r="F177"/>
      <c r="G177"/>
      <c r="H177"/>
      <c r="I177"/>
      <c r="J177"/>
      <c r="K177"/>
      <c r="L177"/>
    </row>
    <row r="178" spans="4:12" x14ac:dyDescent="0.3">
      <c r="D178"/>
      <c r="E178"/>
      <c r="F178"/>
      <c r="G178"/>
      <c r="H178"/>
      <c r="I178"/>
      <c r="J178"/>
      <c r="K178"/>
      <c r="L178"/>
    </row>
    <row r="179" spans="4:12" x14ac:dyDescent="0.3">
      <c r="D179"/>
      <c r="E179"/>
      <c r="F179"/>
      <c r="G179"/>
      <c r="H179"/>
      <c r="I179"/>
      <c r="J179"/>
      <c r="K179"/>
      <c r="L179"/>
    </row>
    <row r="180" spans="4:12" x14ac:dyDescent="0.3">
      <c r="D180"/>
      <c r="E180"/>
      <c r="F180"/>
      <c r="G180"/>
      <c r="H180"/>
      <c r="I180"/>
      <c r="J180"/>
      <c r="K180"/>
      <c r="L180"/>
    </row>
    <row r="181" spans="4:12" x14ac:dyDescent="0.3">
      <c r="D181"/>
      <c r="E181"/>
      <c r="F181"/>
      <c r="G181"/>
      <c r="H181"/>
      <c r="I181"/>
      <c r="J181"/>
      <c r="K181"/>
      <c r="L181"/>
    </row>
    <row r="182" spans="4:12" x14ac:dyDescent="0.3">
      <c r="D182"/>
      <c r="E182"/>
      <c r="F182"/>
      <c r="G182"/>
      <c r="H182"/>
      <c r="I182"/>
      <c r="J182"/>
      <c r="K182"/>
      <c r="L182"/>
    </row>
    <row r="183" spans="4:12" x14ac:dyDescent="0.3">
      <c r="D183"/>
      <c r="E183"/>
      <c r="F183"/>
      <c r="G183"/>
      <c r="H183"/>
      <c r="I183"/>
      <c r="J183"/>
      <c r="K183"/>
      <c r="L183"/>
    </row>
    <row r="184" spans="4:12" x14ac:dyDescent="0.3">
      <c r="D184"/>
      <c r="E184"/>
      <c r="F184"/>
      <c r="G184"/>
      <c r="H184"/>
      <c r="I184"/>
      <c r="J184"/>
      <c r="K184"/>
      <c r="L184"/>
    </row>
    <row r="185" spans="4:12" x14ac:dyDescent="0.3">
      <c r="D185"/>
      <c r="E185"/>
      <c r="F185"/>
      <c r="G185"/>
      <c r="H185"/>
      <c r="I185"/>
      <c r="J185"/>
      <c r="K185"/>
      <c r="L185"/>
    </row>
    <row r="186" spans="4:12" x14ac:dyDescent="0.3">
      <c r="D186"/>
      <c r="E186"/>
      <c r="F186"/>
      <c r="G186"/>
      <c r="H186"/>
      <c r="I186"/>
      <c r="J186"/>
      <c r="K186"/>
      <c r="L186"/>
    </row>
    <row r="187" spans="4:12" x14ac:dyDescent="0.3">
      <c r="D187"/>
      <c r="E187"/>
      <c r="F187"/>
      <c r="G187"/>
      <c r="H187"/>
      <c r="I187"/>
      <c r="J187"/>
      <c r="K187"/>
      <c r="L187"/>
    </row>
    <row r="188" spans="4:12" x14ac:dyDescent="0.3">
      <c r="D188"/>
      <c r="E188"/>
      <c r="F188"/>
      <c r="G188"/>
      <c r="H188"/>
      <c r="I188"/>
      <c r="J188"/>
      <c r="K188"/>
      <c r="L188"/>
    </row>
    <row r="189" spans="4:12" x14ac:dyDescent="0.3">
      <c r="D189"/>
      <c r="E189"/>
      <c r="F189"/>
      <c r="G189"/>
      <c r="H189"/>
      <c r="I189"/>
      <c r="J189"/>
      <c r="K189"/>
      <c r="L189"/>
    </row>
    <row r="190" spans="4:12" x14ac:dyDescent="0.3">
      <c r="D190"/>
      <c r="E190"/>
      <c r="F190"/>
      <c r="G190"/>
      <c r="H190"/>
      <c r="I190"/>
      <c r="J190"/>
      <c r="K190"/>
      <c r="L190"/>
    </row>
    <row r="191" spans="4:12" x14ac:dyDescent="0.3">
      <c r="D191"/>
      <c r="E191"/>
      <c r="F191"/>
      <c r="G191"/>
      <c r="H191"/>
      <c r="I191"/>
      <c r="J191"/>
      <c r="K191"/>
      <c r="L191"/>
    </row>
    <row r="192" spans="4:12" x14ac:dyDescent="0.3">
      <c r="D192"/>
      <c r="E192"/>
      <c r="F192"/>
      <c r="G192"/>
      <c r="H192"/>
      <c r="I192"/>
      <c r="J192"/>
      <c r="K192"/>
      <c r="L192"/>
    </row>
    <row r="193" spans="4:12" x14ac:dyDescent="0.3">
      <c r="D193"/>
      <c r="E193"/>
      <c r="F193"/>
      <c r="G193"/>
      <c r="H193"/>
      <c r="I193"/>
      <c r="J193"/>
      <c r="K193"/>
      <c r="L193"/>
    </row>
    <row r="194" spans="4:12" x14ac:dyDescent="0.3">
      <c r="D194"/>
      <c r="E194"/>
      <c r="F194"/>
      <c r="G194"/>
      <c r="H194"/>
      <c r="I194"/>
      <c r="J194"/>
      <c r="K194"/>
      <c r="L194"/>
    </row>
    <row r="195" spans="4:12" x14ac:dyDescent="0.3">
      <c r="D195"/>
      <c r="E195"/>
      <c r="F195"/>
      <c r="G195"/>
      <c r="H195"/>
      <c r="I195"/>
      <c r="J195"/>
      <c r="K195"/>
      <c r="L195"/>
    </row>
    <row r="196" spans="4:12" x14ac:dyDescent="0.3">
      <c r="D196"/>
      <c r="E196"/>
      <c r="F196"/>
      <c r="G196"/>
      <c r="H196"/>
      <c r="I196"/>
      <c r="J196"/>
      <c r="K196"/>
      <c r="L196"/>
    </row>
    <row r="197" spans="4:12" x14ac:dyDescent="0.3">
      <c r="D197"/>
      <c r="E197"/>
      <c r="F197"/>
      <c r="G197"/>
      <c r="H197"/>
      <c r="I197"/>
      <c r="J197"/>
      <c r="K197"/>
      <c r="L197"/>
    </row>
    <row r="198" spans="4:12" x14ac:dyDescent="0.3">
      <c r="D198"/>
      <c r="E198"/>
      <c r="F198"/>
      <c r="G198"/>
      <c r="H198"/>
      <c r="I198"/>
      <c r="J198"/>
      <c r="K198"/>
      <c r="L198"/>
    </row>
    <row r="199" spans="4:12" x14ac:dyDescent="0.3">
      <c r="D199"/>
      <c r="E199"/>
      <c r="F199"/>
      <c r="G199"/>
      <c r="H199"/>
      <c r="I199"/>
      <c r="J199"/>
      <c r="K199"/>
      <c r="L199"/>
    </row>
    <row r="200" spans="4:12" x14ac:dyDescent="0.3">
      <c r="D200"/>
      <c r="E200"/>
      <c r="F200"/>
      <c r="G200"/>
      <c r="H200"/>
      <c r="I200"/>
      <c r="J200"/>
      <c r="K200"/>
      <c r="L200"/>
    </row>
    <row r="201" spans="4:12" x14ac:dyDescent="0.3">
      <c r="D201"/>
      <c r="E201"/>
      <c r="F201"/>
      <c r="G201"/>
      <c r="H201"/>
      <c r="I201"/>
      <c r="J201"/>
      <c r="K201"/>
      <c r="L201"/>
    </row>
    <row r="202" spans="4:12" x14ac:dyDescent="0.3">
      <c r="D202"/>
      <c r="E202"/>
      <c r="F202"/>
      <c r="G202"/>
      <c r="H202"/>
      <c r="I202"/>
      <c r="J202"/>
      <c r="K202"/>
      <c r="L202"/>
    </row>
    <row r="203" spans="4:12" x14ac:dyDescent="0.3">
      <c r="D203"/>
      <c r="E203"/>
      <c r="F203"/>
      <c r="G203"/>
      <c r="H203"/>
      <c r="I203"/>
      <c r="J203"/>
      <c r="K203"/>
      <c r="L203"/>
    </row>
    <row r="204" spans="4:12" x14ac:dyDescent="0.3">
      <c r="D204"/>
      <c r="E204"/>
      <c r="F204"/>
      <c r="G204"/>
      <c r="H204"/>
      <c r="I204"/>
      <c r="J204"/>
      <c r="K204"/>
      <c r="L204"/>
    </row>
    <row r="205" spans="4:12" x14ac:dyDescent="0.3">
      <c r="D205"/>
      <c r="E205"/>
      <c r="F205"/>
      <c r="G205"/>
      <c r="H205"/>
      <c r="I205"/>
      <c r="J205"/>
      <c r="K205"/>
      <c r="L205"/>
    </row>
    <row r="206" spans="4:12" x14ac:dyDescent="0.3">
      <c r="D206"/>
      <c r="E206"/>
      <c r="F206"/>
      <c r="G206"/>
      <c r="H206"/>
      <c r="I206"/>
      <c r="J206"/>
      <c r="K206"/>
      <c r="L206"/>
    </row>
    <row r="207" spans="4:12" x14ac:dyDescent="0.3">
      <c r="D207"/>
      <c r="E207"/>
      <c r="F207"/>
      <c r="G207"/>
      <c r="H207"/>
      <c r="I207"/>
      <c r="J207"/>
      <c r="K207"/>
      <c r="L207"/>
    </row>
    <row r="208" spans="4:12" x14ac:dyDescent="0.3">
      <c r="D208"/>
      <c r="E208"/>
      <c r="F208"/>
      <c r="G208"/>
      <c r="H208"/>
      <c r="I208"/>
      <c r="J208"/>
      <c r="K208"/>
      <c r="L208"/>
    </row>
    <row r="209" spans="4:12" x14ac:dyDescent="0.3">
      <c r="D209"/>
      <c r="E209"/>
      <c r="F209"/>
      <c r="G209"/>
      <c r="H209"/>
      <c r="I209"/>
      <c r="J209"/>
      <c r="K209"/>
      <c r="L209"/>
    </row>
    <row r="210" spans="4:12" x14ac:dyDescent="0.3">
      <c r="D210"/>
      <c r="E210"/>
      <c r="F210"/>
      <c r="G210"/>
      <c r="H210"/>
      <c r="I210"/>
      <c r="J210"/>
      <c r="K210"/>
      <c r="L210"/>
    </row>
    <row r="211" spans="4:12" x14ac:dyDescent="0.3">
      <c r="D211"/>
      <c r="E211"/>
      <c r="F211"/>
      <c r="G211"/>
      <c r="H211"/>
      <c r="I211"/>
      <c r="J211"/>
      <c r="K211"/>
      <c r="L211"/>
    </row>
    <row r="212" spans="4:12" x14ac:dyDescent="0.3">
      <c r="D212"/>
      <c r="E212"/>
      <c r="F212"/>
      <c r="G212"/>
      <c r="H212"/>
      <c r="I212"/>
      <c r="J212"/>
      <c r="K212"/>
      <c r="L212"/>
    </row>
    <row r="213" spans="4:12" x14ac:dyDescent="0.3">
      <c r="D213"/>
      <c r="E213"/>
      <c r="F213"/>
      <c r="G213"/>
      <c r="H213"/>
      <c r="I213"/>
      <c r="J213"/>
      <c r="K213"/>
      <c r="L213"/>
    </row>
    <row r="214" spans="4:12" x14ac:dyDescent="0.3">
      <c r="D214"/>
      <c r="E214"/>
      <c r="F214"/>
      <c r="G214"/>
      <c r="H214"/>
      <c r="I214"/>
      <c r="J214"/>
      <c r="K214"/>
      <c r="L214"/>
    </row>
    <row r="215" spans="4:12" x14ac:dyDescent="0.3">
      <c r="D215"/>
      <c r="E215"/>
      <c r="F215"/>
      <c r="G215"/>
      <c r="H215"/>
      <c r="I215"/>
      <c r="J215"/>
      <c r="K215"/>
      <c r="L215"/>
    </row>
    <row r="216" spans="4:12" x14ac:dyDescent="0.3">
      <c r="D216"/>
      <c r="E216"/>
      <c r="F216"/>
      <c r="G216"/>
      <c r="H216"/>
      <c r="I216"/>
      <c r="J216"/>
      <c r="K216"/>
      <c r="L216"/>
    </row>
    <row r="217" spans="4:12" x14ac:dyDescent="0.3">
      <c r="D217"/>
      <c r="E217"/>
      <c r="F217"/>
      <c r="G217"/>
      <c r="H217"/>
      <c r="I217"/>
      <c r="J217"/>
      <c r="K217"/>
      <c r="L217"/>
    </row>
    <row r="218" spans="4:12" x14ac:dyDescent="0.3">
      <c r="D218"/>
      <c r="E218"/>
      <c r="F218"/>
      <c r="G218"/>
      <c r="H218"/>
      <c r="I218"/>
      <c r="J218"/>
      <c r="K218"/>
      <c r="L218"/>
    </row>
    <row r="219" spans="4:12" x14ac:dyDescent="0.3">
      <c r="D219"/>
      <c r="E219"/>
      <c r="F219"/>
      <c r="G219"/>
      <c r="H219"/>
      <c r="I219"/>
      <c r="J219"/>
      <c r="K219"/>
      <c r="L219"/>
    </row>
    <row r="220" spans="4:12" x14ac:dyDescent="0.3">
      <c r="D220"/>
      <c r="E220"/>
      <c r="F220"/>
      <c r="G220"/>
      <c r="H220"/>
      <c r="I220"/>
      <c r="J220"/>
      <c r="K220"/>
      <c r="L220"/>
    </row>
    <row r="221" spans="4:12" x14ac:dyDescent="0.3">
      <c r="D221"/>
      <c r="E221"/>
      <c r="F221"/>
      <c r="G221"/>
      <c r="H221"/>
      <c r="I221"/>
      <c r="J221"/>
      <c r="K221"/>
      <c r="L221"/>
    </row>
    <row r="222" spans="4:12" x14ac:dyDescent="0.3">
      <c r="D222"/>
      <c r="E222"/>
      <c r="F222"/>
      <c r="G222"/>
      <c r="H222"/>
      <c r="I222"/>
      <c r="J222"/>
      <c r="K222"/>
      <c r="L222"/>
    </row>
    <row r="223" spans="4:12" x14ac:dyDescent="0.3">
      <c r="D223"/>
      <c r="E223"/>
      <c r="F223"/>
      <c r="G223"/>
      <c r="H223"/>
      <c r="I223"/>
      <c r="J223"/>
      <c r="K223"/>
      <c r="L223"/>
    </row>
    <row r="224" spans="4:12" x14ac:dyDescent="0.3">
      <c r="D224"/>
      <c r="E224"/>
      <c r="F224"/>
      <c r="G224"/>
      <c r="H224"/>
      <c r="I224"/>
      <c r="J224"/>
      <c r="K224"/>
      <c r="L224"/>
    </row>
    <row r="225" spans="4:12" x14ac:dyDescent="0.3">
      <c r="D225"/>
      <c r="E225"/>
      <c r="F225"/>
      <c r="G225"/>
      <c r="H225"/>
      <c r="I225"/>
      <c r="J225"/>
      <c r="K225"/>
      <c r="L225"/>
    </row>
    <row r="226" spans="4:12" x14ac:dyDescent="0.3">
      <c r="D226"/>
      <c r="E226"/>
      <c r="F226"/>
      <c r="G226"/>
      <c r="H226"/>
      <c r="I226"/>
      <c r="J226"/>
      <c r="K226"/>
      <c r="L226"/>
    </row>
    <row r="227" spans="4:12" x14ac:dyDescent="0.3">
      <c r="D227"/>
      <c r="E227"/>
      <c r="F227"/>
      <c r="G227"/>
      <c r="H227"/>
      <c r="I227"/>
      <c r="J227"/>
      <c r="K227"/>
      <c r="L227"/>
    </row>
    <row r="228" spans="4:12" x14ac:dyDescent="0.3">
      <c r="D228"/>
      <c r="E228"/>
      <c r="F228"/>
      <c r="G228"/>
      <c r="H228"/>
      <c r="I228"/>
      <c r="J228"/>
      <c r="K228"/>
      <c r="L228"/>
    </row>
    <row r="229" spans="4:12" x14ac:dyDescent="0.3">
      <c r="D229"/>
      <c r="E229"/>
      <c r="F229"/>
      <c r="G229"/>
      <c r="H229"/>
      <c r="I229"/>
      <c r="J229"/>
      <c r="K229"/>
      <c r="L229"/>
    </row>
    <row r="230" spans="4:12" x14ac:dyDescent="0.3">
      <c r="D230"/>
      <c r="E230"/>
      <c r="F230"/>
      <c r="G230"/>
      <c r="H230"/>
      <c r="I230"/>
      <c r="J230"/>
      <c r="K230"/>
      <c r="L230"/>
    </row>
    <row r="231" spans="4:12" x14ac:dyDescent="0.3">
      <c r="D231"/>
      <c r="E231"/>
      <c r="F231"/>
      <c r="G231"/>
      <c r="H231"/>
      <c r="I231"/>
      <c r="J231"/>
      <c r="K231"/>
      <c r="L231"/>
    </row>
    <row r="232" spans="4:12" x14ac:dyDescent="0.3">
      <c r="D232"/>
      <c r="E232"/>
      <c r="F232"/>
      <c r="G232"/>
      <c r="H232"/>
      <c r="I232"/>
      <c r="J232"/>
      <c r="K232"/>
      <c r="L232"/>
    </row>
    <row r="233" spans="4:12" x14ac:dyDescent="0.3">
      <c r="D233"/>
      <c r="E233"/>
      <c r="F233"/>
      <c r="G233"/>
      <c r="H233"/>
      <c r="I233"/>
      <c r="J233"/>
      <c r="K233"/>
      <c r="L233"/>
    </row>
    <row r="234" spans="4:12" x14ac:dyDescent="0.3">
      <c r="D234"/>
      <c r="E234"/>
      <c r="F234"/>
      <c r="G234"/>
      <c r="H234"/>
      <c r="I234"/>
      <c r="J234"/>
      <c r="K234"/>
      <c r="L234"/>
    </row>
    <row r="235" spans="4:12" x14ac:dyDescent="0.3">
      <c r="D235"/>
      <c r="E235"/>
      <c r="F235"/>
      <c r="G235"/>
      <c r="H235"/>
      <c r="I235"/>
      <c r="J235"/>
      <c r="K235"/>
      <c r="L235"/>
    </row>
    <row r="236" spans="4:12" x14ac:dyDescent="0.3">
      <c r="D236"/>
      <c r="E236"/>
      <c r="F236"/>
      <c r="G236"/>
      <c r="H236"/>
      <c r="I236"/>
      <c r="J236"/>
      <c r="K236"/>
      <c r="L236"/>
    </row>
    <row r="237" spans="4:12" x14ac:dyDescent="0.3">
      <c r="D237"/>
      <c r="E237"/>
      <c r="F237"/>
      <c r="G237"/>
      <c r="H237"/>
      <c r="I237"/>
      <c r="J237"/>
      <c r="K237"/>
      <c r="L237"/>
    </row>
    <row r="238" spans="4:12" x14ac:dyDescent="0.3">
      <c r="D238"/>
      <c r="E238"/>
      <c r="F238"/>
      <c r="G238"/>
      <c r="H238"/>
      <c r="I238"/>
      <c r="J238"/>
      <c r="K238"/>
      <c r="L238"/>
    </row>
    <row r="239" spans="4:12" x14ac:dyDescent="0.3">
      <c r="D239"/>
      <c r="E239"/>
      <c r="F239"/>
      <c r="G239"/>
      <c r="H239"/>
      <c r="I239"/>
      <c r="J239"/>
      <c r="K239"/>
      <c r="L239"/>
    </row>
    <row r="240" spans="4:12" x14ac:dyDescent="0.3">
      <c r="D240"/>
      <c r="E240"/>
      <c r="F240"/>
      <c r="G240"/>
      <c r="H240"/>
      <c r="I240"/>
      <c r="J240"/>
      <c r="K240"/>
      <c r="L240"/>
    </row>
    <row r="241" spans="4:12" x14ac:dyDescent="0.3">
      <c r="D241"/>
      <c r="E241"/>
      <c r="F241"/>
      <c r="G241"/>
      <c r="H241"/>
      <c r="I241"/>
      <c r="J241"/>
      <c r="K241"/>
      <c r="L241"/>
    </row>
    <row r="242" spans="4:12" x14ac:dyDescent="0.3">
      <c r="D242"/>
      <c r="E242"/>
      <c r="F242"/>
      <c r="G242"/>
      <c r="H242"/>
      <c r="I242"/>
      <c r="J242"/>
      <c r="K242"/>
      <c r="L242"/>
    </row>
    <row r="243" spans="4:12" x14ac:dyDescent="0.3">
      <c r="D243"/>
      <c r="E243"/>
      <c r="F243"/>
      <c r="G243"/>
      <c r="H243"/>
      <c r="I243"/>
      <c r="J243"/>
      <c r="K243"/>
      <c r="L243"/>
    </row>
    <row r="244" spans="4:12" x14ac:dyDescent="0.3">
      <c r="D244"/>
      <c r="E244"/>
      <c r="F244"/>
      <c r="G244"/>
      <c r="H244"/>
      <c r="I244"/>
      <c r="J244"/>
      <c r="K244"/>
      <c r="L244"/>
    </row>
    <row r="245" spans="4:12" x14ac:dyDescent="0.3">
      <c r="D245"/>
      <c r="E245"/>
      <c r="F245"/>
      <c r="G245"/>
      <c r="H245"/>
      <c r="I245"/>
      <c r="J245"/>
      <c r="K245"/>
      <c r="L245"/>
    </row>
    <row r="246" spans="4:12" x14ac:dyDescent="0.3">
      <c r="D246"/>
      <c r="E246"/>
      <c r="F246"/>
      <c r="G246"/>
      <c r="H246"/>
      <c r="I246"/>
      <c r="J246"/>
      <c r="K246"/>
      <c r="L246"/>
    </row>
    <row r="247" spans="4:12" x14ac:dyDescent="0.3">
      <c r="D247"/>
      <c r="E247"/>
      <c r="F247"/>
      <c r="G247"/>
      <c r="H247"/>
      <c r="I247"/>
      <c r="J247"/>
      <c r="K247"/>
      <c r="L247"/>
    </row>
    <row r="248" spans="4:12" x14ac:dyDescent="0.3">
      <c r="D248"/>
      <c r="E248"/>
      <c r="F248"/>
      <c r="G248"/>
      <c r="H248"/>
      <c r="I248"/>
      <c r="J248"/>
      <c r="K248"/>
      <c r="L248"/>
    </row>
    <row r="249" spans="4:12" x14ac:dyDescent="0.3">
      <c r="D249"/>
      <c r="E249"/>
      <c r="F249"/>
      <c r="G249"/>
      <c r="H249"/>
      <c r="I249"/>
      <c r="J249"/>
      <c r="K249"/>
      <c r="L249"/>
    </row>
    <row r="250" spans="4:12" x14ac:dyDescent="0.3">
      <c r="D250"/>
      <c r="E250"/>
      <c r="F250"/>
      <c r="G250"/>
      <c r="H250"/>
      <c r="I250"/>
      <c r="J250"/>
      <c r="K250"/>
      <c r="L250"/>
    </row>
    <row r="251" spans="4:12" x14ac:dyDescent="0.3">
      <c r="D251"/>
      <c r="E251"/>
      <c r="F251"/>
      <c r="G251"/>
      <c r="H251"/>
      <c r="I251"/>
      <c r="J251"/>
      <c r="K251"/>
      <c r="L251"/>
    </row>
    <row r="252" spans="4:12" x14ac:dyDescent="0.3">
      <c r="D252"/>
      <c r="E252"/>
      <c r="F252"/>
      <c r="G252"/>
      <c r="H252"/>
      <c r="I252"/>
      <c r="J252"/>
      <c r="K252"/>
      <c r="L252"/>
    </row>
    <row r="253" spans="4:12" x14ac:dyDescent="0.3">
      <c r="D253"/>
      <c r="E253"/>
      <c r="F253"/>
      <c r="G253"/>
      <c r="H253"/>
      <c r="I253"/>
      <c r="J253"/>
      <c r="K253"/>
      <c r="L253"/>
    </row>
    <row r="254" spans="4:12" x14ac:dyDescent="0.3">
      <c r="D254"/>
      <c r="E254"/>
      <c r="F254"/>
      <c r="G254"/>
      <c r="H254"/>
      <c r="I254"/>
      <c r="J254"/>
      <c r="K254"/>
      <c r="L254"/>
    </row>
    <row r="255" spans="4:12" x14ac:dyDescent="0.3">
      <c r="D255"/>
      <c r="E255"/>
      <c r="F255"/>
      <c r="G255"/>
      <c r="H255"/>
      <c r="I255"/>
      <c r="J255"/>
      <c r="K255"/>
      <c r="L255"/>
    </row>
    <row r="256" spans="4:12" x14ac:dyDescent="0.3">
      <c r="D256"/>
      <c r="E256"/>
      <c r="F256"/>
      <c r="G256"/>
      <c r="H256"/>
      <c r="I256"/>
      <c r="J256"/>
      <c r="K256"/>
      <c r="L256"/>
    </row>
    <row r="257" spans="4:12" x14ac:dyDescent="0.3">
      <c r="D257"/>
      <c r="E257"/>
      <c r="F257"/>
      <c r="G257"/>
      <c r="H257"/>
      <c r="I257"/>
      <c r="J257"/>
      <c r="K257"/>
      <c r="L257"/>
    </row>
    <row r="258" spans="4:12" x14ac:dyDescent="0.3">
      <c r="D258"/>
      <c r="E258"/>
      <c r="F258"/>
      <c r="G258"/>
      <c r="H258"/>
      <c r="I258"/>
      <c r="J258"/>
      <c r="K258"/>
      <c r="L258"/>
    </row>
    <row r="259" spans="4:12" x14ac:dyDescent="0.3">
      <c r="D259"/>
      <c r="E259"/>
      <c r="F259"/>
      <c r="G259"/>
      <c r="H259"/>
      <c r="I259"/>
      <c r="J259"/>
      <c r="K259"/>
      <c r="L259"/>
    </row>
    <row r="260" spans="4:12" x14ac:dyDescent="0.3">
      <c r="D260"/>
      <c r="E260"/>
      <c r="F260"/>
      <c r="G260"/>
      <c r="H260"/>
      <c r="I260"/>
      <c r="J260"/>
      <c r="K260"/>
      <c r="L260"/>
    </row>
    <row r="261" spans="4:12" x14ac:dyDescent="0.3">
      <c r="D261"/>
      <c r="E261"/>
      <c r="F261"/>
      <c r="G261"/>
      <c r="H261"/>
      <c r="I261"/>
      <c r="J261"/>
      <c r="K261"/>
      <c r="L261"/>
    </row>
    <row r="262" spans="4:12" x14ac:dyDescent="0.3">
      <c r="D262"/>
      <c r="E262"/>
      <c r="F262"/>
      <c r="G262"/>
      <c r="H262"/>
      <c r="I262"/>
      <c r="J262"/>
      <c r="K262"/>
      <c r="L262"/>
    </row>
    <row r="263" spans="4:12" x14ac:dyDescent="0.3">
      <c r="D263"/>
      <c r="E263"/>
      <c r="F263"/>
      <c r="G263"/>
      <c r="H263"/>
      <c r="I263"/>
      <c r="J263"/>
      <c r="K263"/>
      <c r="L263"/>
    </row>
    <row r="264" spans="4:12" x14ac:dyDescent="0.3">
      <c r="D264"/>
      <c r="E264"/>
      <c r="F264"/>
      <c r="G264"/>
      <c r="H264"/>
      <c r="I264"/>
      <c r="J264"/>
      <c r="K264"/>
      <c r="L264"/>
    </row>
    <row r="265" spans="4:12" x14ac:dyDescent="0.3">
      <c r="D265"/>
      <c r="E265"/>
      <c r="F265"/>
      <c r="G265"/>
      <c r="H265"/>
      <c r="I265"/>
      <c r="J265"/>
      <c r="K265"/>
      <c r="L265"/>
    </row>
    <row r="266" spans="4:12" x14ac:dyDescent="0.3">
      <c r="D266"/>
      <c r="E266"/>
      <c r="F266"/>
      <c r="G266"/>
      <c r="H266"/>
      <c r="I266"/>
      <c r="J266"/>
      <c r="K266"/>
      <c r="L266"/>
    </row>
    <row r="267" spans="4:12" x14ac:dyDescent="0.3">
      <c r="D267"/>
      <c r="E267"/>
      <c r="F267"/>
      <c r="G267"/>
      <c r="H267"/>
      <c r="I267"/>
      <c r="J267"/>
      <c r="K267"/>
      <c r="L267"/>
    </row>
    <row r="268" spans="4:12" x14ac:dyDescent="0.3">
      <c r="D268"/>
      <c r="E268"/>
      <c r="F268"/>
      <c r="G268"/>
      <c r="H268"/>
      <c r="I268"/>
      <c r="J268"/>
      <c r="K268"/>
      <c r="L268"/>
    </row>
    <row r="269" spans="4:12" x14ac:dyDescent="0.3">
      <c r="D269"/>
      <c r="E269"/>
      <c r="F269"/>
      <c r="G269"/>
      <c r="H269"/>
      <c r="I269"/>
      <c r="J269"/>
      <c r="K269"/>
      <c r="L269"/>
    </row>
    <row r="270" spans="4:12" x14ac:dyDescent="0.3">
      <c r="D270"/>
      <c r="E270"/>
      <c r="F270"/>
      <c r="G270"/>
      <c r="H270"/>
      <c r="I270"/>
      <c r="J270"/>
      <c r="K270"/>
      <c r="L270"/>
    </row>
    <row r="271" spans="4:12" x14ac:dyDescent="0.3">
      <c r="D271"/>
      <c r="E271"/>
      <c r="F271"/>
      <c r="G271"/>
      <c r="H271"/>
      <c r="I271"/>
      <c r="J271"/>
      <c r="K271"/>
      <c r="L271"/>
    </row>
    <row r="272" spans="4:12" x14ac:dyDescent="0.3">
      <c r="D272"/>
      <c r="E272"/>
      <c r="F272"/>
      <c r="G272"/>
      <c r="H272"/>
      <c r="I272"/>
      <c r="J272"/>
      <c r="K272"/>
      <c r="L272"/>
    </row>
    <row r="273" spans="4:12" x14ac:dyDescent="0.3">
      <c r="D273"/>
      <c r="E273"/>
      <c r="F273"/>
      <c r="G273"/>
      <c r="H273"/>
      <c r="I273"/>
      <c r="J273"/>
      <c r="K273"/>
      <c r="L273"/>
    </row>
    <row r="274" spans="4:12" x14ac:dyDescent="0.3">
      <c r="D274"/>
      <c r="E274"/>
      <c r="F274"/>
      <c r="G274"/>
      <c r="H274"/>
      <c r="I274"/>
      <c r="J274"/>
      <c r="K274"/>
      <c r="L274"/>
    </row>
    <row r="275" spans="4:12" x14ac:dyDescent="0.3">
      <c r="D275"/>
      <c r="E275"/>
      <c r="F275"/>
      <c r="G275"/>
      <c r="H275"/>
      <c r="I275"/>
      <c r="J275"/>
      <c r="K275"/>
      <c r="L275"/>
    </row>
    <row r="276" spans="4:12" x14ac:dyDescent="0.3">
      <c r="D276"/>
      <c r="E276"/>
      <c r="F276"/>
      <c r="G276"/>
      <c r="H276"/>
      <c r="I276"/>
      <c r="J276"/>
      <c r="K276"/>
      <c r="L276"/>
    </row>
    <row r="277" spans="4:12" x14ac:dyDescent="0.3">
      <c r="D277"/>
      <c r="E277"/>
      <c r="F277"/>
      <c r="G277"/>
      <c r="H277"/>
      <c r="I277"/>
      <c r="J277"/>
      <c r="K277"/>
      <c r="L277"/>
    </row>
    <row r="278" spans="4:12" x14ac:dyDescent="0.3">
      <c r="D278"/>
      <c r="E278"/>
      <c r="F278"/>
      <c r="G278"/>
      <c r="H278"/>
      <c r="I278"/>
      <c r="J278"/>
      <c r="K278"/>
      <c r="L278"/>
    </row>
    <row r="279" spans="4:12" x14ac:dyDescent="0.3">
      <c r="D279"/>
      <c r="E279"/>
      <c r="F279"/>
      <c r="G279"/>
      <c r="H279"/>
      <c r="I279"/>
      <c r="J279"/>
      <c r="K279"/>
      <c r="L279"/>
    </row>
    <row r="280" spans="4:12" x14ac:dyDescent="0.3">
      <c r="D280"/>
      <c r="E280"/>
      <c r="F280"/>
      <c r="G280"/>
      <c r="H280"/>
      <c r="I280"/>
      <c r="J280"/>
      <c r="K280"/>
      <c r="L280"/>
    </row>
    <row r="281" spans="4:12" x14ac:dyDescent="0.3">
      <c r="D281"/>
      <c r="E281"/>
      <c r="F281"/>
      <c r="G281"/>
      <c r="H281"/>
      <c r="I281"/>
      <c r="J281"/>
      <c r="K281"/>
      <c r="L281"/>
    </row>
    <row r="282" spans="4:12" x14ac:dyDescent="0.3">
      <c r="D282"/>
      <c r="E282"/>
      <c r="F282"/>
      <c r="G282"/>
      <c r="H282"/>
      <c r="I282"/>
      <c r="J282"/>
      <c r="K282"/>
      <c r="L282"/>
    </row>
    <row r="283" spans="4:12" x14ac:dyDescent="0.3">
      <c r="D283"/>
      <c r="E283"/>
      <c r="F283"/>
      <c r="G283"/>
      <c r="H283"/>
      <c r="I283"/>
      <c r="J283"/>
      <c r="K283"/>
      <c r="L283"/>
    </row>
    <row r="284" spans="4:12" x14ac:dyDescent="0.3">
      <c r="D284"/>
      <c r="E284"/>
      <c r="F284"/>
      <c r="G284"/>
      <c r="H284"/>
      <c r="I284"/>
      <c r="J284"/>
      <c r="K284"/>
      <c r="L284"/>
    </row>
    <row r="285" spans="4:12" x14ac:dyDescent="0.3">
      <c r="D285"/>
      <c r="E285"/>
      <c r="F285"/>
      <c r="G285"/>
      <c r="H285"/>
      <c r="I285"/>
      <c r="J285"/>
      <c r="K285"/>
      <c r="L285"/>
    </row>
    <row r="286" spans="4:12" x14ac:dyDescent="0.3">
      <c r="D286"/>
      <c r="E286"/>
      <c r="F286"/>
      <c r="G286"/>
      <c r="H286"/>
      <c r="I286"/>
      <c r="J286"/>
      <c r="K286"/>
      <c r="L286"/>
    </row>
    <row r="287" spans="4:12" x14ac:dyDescent="0.3">
      <c r="D287"/>
      <c r="E287"/>
      <c r="F287"/>
      <c r="G287"/>
      <c r="H287"/>
      <c r="I287"/>
      <c r="J287"/>
      <c r="K287"/>
      <c r="L287"/>
    </row>
    <row r="288" spans="4:12" x14ac:dyDescent="0.3">
      <c r="D288"/>
      <c r="E288"/>
      <c r="F288"/>
      <c r="G288"/>
      <c r="H288"/>
      <c r="I288"/>
      <c r="J288"/>
      <c r="K288"/>
      <c r="L288"/>
    </row>
    <row r="289" spans="4:12" x14ac:dyDescent="0.3">
      <c r="D289"/>
      <c r="E289"/>
      <c r="F289"/>
      <c r="G289"/>
      <c r="H289"/>
      <c r="I289"/>
      <c r="J289"/>
      <c r="K289"/>
      <c r="L289"/>
    </row>
    <row r="290" spans="4:12" x14ac:dyDescent="0.3">
      <c r="D290"/>
      <c r="E290"/>
      <c r="F290"/>
      <c r="G290"/>
      <c r="H290"/>
      <c r="I290"/>
      <c r="J290"/>
      <c r="K290"/>
      <c r="L290"/>
    </row>
    <row r="291" spans="4:12" x14ac:dyDescent="0.3">
      <c r="D291"/>
      <c r="E291"/>
      <c r="F291"/>
      <c r="G291"/>
      <c r="H291"/>
      <c r="I291"/>
      <c r="J291"/>
      <c r="K291"/>
      <c r="L291"/>
    </row>
    <row r="292" spans="4:12" x14ac:dyDescent="0.3">
      <c r="D292"/>
      <c r="E292"/>
      <c r="F292"/>
      <c r="G292"/>
      <c r="H292"/>
      <c r="I292"/>
      <c r="J292"/>
      <c r="K292"/>
      <c r="L292"/>
    </row>
    <row r="293" spans="4:12" x14ac:dyDescent="0.3">
      <c r="D293"/>
      <c r="E293"/>
      <c r="F293"/>
      <c r="G293"/>
      <c r="H293"/>
      <c r="I293"/>
      <c r="J293"/>
      <c r="K293"/>
      <c r="L293"/>
    </row>
    <row r="294" spans="4:12" x14ac:dyDescent="0.3">
      <c r="D294"/>
      <c r="E294"/>
      <c r="F294"/>
      <c r="G294"/>
      <c r="H294"/>
      <c r="I294"/>
      <c r="J294"/>
      <c r="K294"/>
      <c r="L294"/>
    </row>
    <row r="295" spans="4:12" x14ac:dyDescent="0.3">
      <c r="D295"/>
      <c r="E295"/>
      <c r="F295"/>
      <c r="G295"/>
      <c r="H295"/>
      <c r="I295"/>
      <c r="J295"/>
      <c r="K295"/>
      <c r="L295"/>
    </row>
    <row r="296" spans="4:12" x14ac:dyDescent="0.3">
      <c r="D296"/>
      <c r="E296"/>
      <c r="F296"/>
      <c r="G296"/>
      <c r="H296"/>
      <c r="I296"/>
      <c r="J296"/>
      <c r="K296"/>
      <c r="L296"/>
    </row>
    <row r="297" spans="4:12" x14ac:dyDescent="0.3">
      <c r="D297"/>
      <c r="E297"/>
      <c r="F297"/>
      <c r="G297"/>
      <c r="H297"/>
      <c r="I297"/>
      <c r="J297"/>
      <c r="K297"/>
      <c r="L297"/>
    </row>
    <row r="298" spans="4:12" x14ac:dyDescent="0.3">
      <c r="D298"/>
      <c r="E298"/>
      <c r="F298"/>
      <c r="G298"/>
      <c r="H298"/>
      <c r="I298"/>
      <c r="J298"/>
      <c r="K298"/>
      <c r="L298"/>
    </row>
    <row r="299" spans="4:12" x14ac:dyDescent="0.3">
      <c r="D299"/>
      <c r="E299"/>
      <c r="F299"/>
      <c r="G299"/>
      <c r="H299"/>
      <c r="I299"/>
      <c r="J299"/>
      <c r="K299"/>
      <c r="L299"/>
    </row>
    <row r="300" spans="4:12" x14ac:dyDescent="0.3">
      <c r="D300"/>
      <c r="E300"/>
      <c r="F300"/>
      <c r="G300"/>
      <c r="H300"/>
      <c r="I300"/>
      <c r="J300"/>
      <c r="K300"/>
      <c r="L300"/>
    </row>
    <row r="301" spans="4:12" x14ac:dyDescent="0.3">
      <c r="D301"/>
      <c r="E301"/>
      <c r="F301"/>
      <c r="G301"/>
      <c r="H301"/>
      <c r="I301"/>
      <c r="J301"/>
      <c r="K301"/>
      <c r="L301"/>
    </row>
    <row r="302" spans="4:12" x14ac:dyDescent="0.3">
      <c r="D302"/>
      <c r="E302"/>
      <c r="F302"/>
      <c r="G302"/>
      <c r="H302"/>
      <c r="I302"/>
      <c r="J302"/>
      <c r="K302"/>
      <c r="L302"/>
    </row>
    <row r="303" spans="4:12" x14ac:dyDescent="0.3">
      <c r="D303"/>
      <c r="E303"/>
      <c r="F303"/>
      <c r="G303"/>
      <c r="H303"/>
      <c r="I303"/>
      <c r="J303"/>
      <c r="K303"/>
      <c r="L303"/>
    </row>
    <row r="304" spans="4:12" x14ac:dyDescent="0.3">
      <c r="D304"/>
      <c r="E304"/>
      <c r="F304"/>
      <c r="G304"/>
      <c r="H304"/>
      <c r="I304"/>
      <c r="J304"/>
      <c r="K304"/>
      <c r="L304"/>
    </row>
    <row r="305" spans="4:12" x14ac:dyDescent="0.3">
      <c r="D305"/>
      <c r="E305"/>
      <c r="F305"/>
      <c r="G305"/>
      <c r="H305"/>
      <c r="I305"/>
      <c r="J305"/>
      <c r="K305"/>
      <c r="L305"/>
    </row>
    <row r="306" spans="4:12" x14ac:dyDescent="0.3">
      <c r="D306"/>
      <c r="E306"/>
      <c r="F306"/>
      <c r="G306"/>
      <c r="H306"/>
      <c r="I306"/>
      <c r="J306"/>
      <c r="K306"/>
      <c r="L306"/>
    </row>
    <row r="307" spans="4:12" x14ac:dyDescent="0.3">
      <c r="D307"/>
      <c r="E307"/>
      <c r="F307"/>
      <c r="G307"/>
      <c r="H307"/>
      <c r="I307"/>
      <c r="J307"/>
      <c r="K307"/>
      <c r="L307"/>
    </row>
    <row r="308" spans="4:12" x14ac:dyDescent="0.3">
      <c r="D308"/>
      <c r="E308"/>
      <c r="F308"/>
      <c r="G308"/>
      <c r="H308"/>
      <c r="I308"/>
      <c r="J308"/>
      <c r="K308"/>
      <c r="L308"/>
    </row>
    <row r="309" spans="4:12" x14ac:dyDescent="0.3">
      <c r="D309"/>
      <c r="E309"/>
      <c r="F309"/>
      <c r="G309"/>
      <c r="H309"/>
      <c r="I309"/>
      <c r="J309"/>
      <c r="K309"/>
      <c r="L309"/>
    </row>
    <row r="310" spans="4:12" x14ac:dyDescent="0.3">
      <c r="D310"/>
      <c r="E310"/>
      <c r="F310"/>
      <c r="G310"/>
      <c r="H310"/>
      <c r="I310"/>
      <c r="J310"/>
      <c r="K310"/>
      <c r="L310"/>
    </row>
    <row r="311" spans="4:12" x14ac:dyDescent="0.3">
      <c r="D311"/>
      <c r="E311"/>
      <c r="F311"/>
      <c r="G311"/>
      <c r="H311"/>
      <c r="I311"/>
      <c r="J311"/>
      <c r="K311"/>
      <c r="L311"/>
    </row>
    <row r="312" spans="4:12" x14ac:dyDescent="0.3">
      <c r="D312"/>
      <c r="E312"/>
      <c r="F312"/>
      <c r="G312"/>
      <c r="H312"/>
      <c r="I312"/>
      <c r="J312"/>
      <c r="K312"/>
      <c r="L312"/>
    </row>
    <row r="313" spans="4:12" x14ac:dyDescent="0.3">
      <c r="D313"/>
      <c r="E313"/>
      <c r="F313"/>
      <c r="G313"/>
      <c r="H313"/>
      <c r="I313"/>
      <c r="J313"/>
      <c r="K313"/>
      <c r="L313"/>
    </row>
    <row r="314" spans="4:12" x14ac:dyDescent="0.3">
      <c r="D314"/>
      <c r="E314"/>
      <c r="F314"/>
      <c r="G314"/>
      <c r="H314"/>
      <c r="I314"/>
      <c r="J314"/>
      <c r="K314"/>
      <c r="L314"/>
    </row>
    <row r="315" spans="4:12" x14ac:dyDescent="0.3">
      <c r="D315"/>
      <c r="E315"/>
      <c r="F315"/>
      <c r="G315"/>
      <c r="H315"/>
      <c r="I315"/>
      <c r="J315"/>
      <c r="K315"/>
      <c r="L315"/>
    </row>
    <row r="316" spans="4:12" x14ac:dyDescent="0.3">
      <c r="D316"/>
      <c r="E316"/>
      <c r="F316"/>
      <c r="G316"/>
      <c r="H316"/>
      <c r="I316"/>
      <c r="J316"/>
      <c r="K316"/>
      <c r="L316"/>
    </row>
    <row r="317" spans="4:12" x14ac:dyDescent="0.3">
      <c r="D317"/>
      <c r="E317"/>
      <c r="F317"/>
      <c r="G317"/>
      <c r="H317"/>
      <c r="I317"/>
      <c r="J317"/>
      <c r="K317"/>
      <c r="L317"/>
    </row>
    <row r="318" spans="4:12" x14ac:dyDescent="0.3">
      <c r="D318"/>
      <c r="E318"/>
      <c r="F318"/>
      <c r="G318"/>
      <c r="H318"/>
      <c r="I318"/>
      <c r="J318"/>
      <c r="K318"/>
      <c r="L318"/>
    </row>
    <row r="319" spans="4:12" x14ac:dyDescent="0.3">
      <c r="D319"/>
      <c r="E319"/>
      <c r="F319"/>
      <c r="G319"/>
      <c r="H319"/>
      <c r="I319"/>
      <c r="J319"/>
      <c r="K319"/>
      <c r="L319"/>
    </row>
    <row r="320" spans="4:12" x14ac:dyDescent="0.3">
      <c r="D320"/>
      <c r="E320"/>
      <c r="F320"/>
      <c r="G320"/>
      <c r="H320"/>
      <c r="I320"/>
      <c r="J320"/>
      <c r="K320"/>
      <c r="L320"/>
    </row>
    <row r="321" spans="4:12" x14ac:dyDescent="0.3">
      <c r="D321"/>
      <c r="E321"/>
      <c r="F321"/>
      <c r="G321"/>
      <c r="H321"/>
      <c r="I321"/>
      <c r="J321"/>
      <c r="K321"/>
      <c r="L321"/>
    </row>
    <row r="322" spans="4:12" x14ac:dyDescent="0.3">
      <c r="D322"/>
      <c r="E322"/>
      <c r="F322"/>
      <c r="G322"/>
      <c r="H322"/>
      <c r="I322"/>
      <c r="J322"/>
      <c r="K322"/>
      <c r="L322"/>
    </row>
    <row r="323" spans="4:12" x14ac:dyDescent="0.3">
      <c r="D323"/>
      <c r="E323"/>
      <c r="F323"/>
      <c r="G323"/>
      <c r="H323"/>
      <c r="I323"/>
      <c r="J323"/>
      <c r="K323"/>
      <c r="L323"/>
    </row>
    <row r="324" spans="4:12" x14ac:dyDescent="0.3">
      <c r="D324"/>
      <c r="E324"/>
      <c r="F324"/>
      <c r="G324"/>
      <c r="H324"/>
      <c r="I324"/>
      <c r="J324"/>
      <c r="K324"/>
      <c r="L324"/>
    </row>
    <row r="325" spans="4:12" x14ac:dyDescent="0.3">
      <c r="D325"/>
      <c r="E325"/>
      <c r="F325"/>
      <c r="G325"/>
      <c r="H325"/>
      <c r="I325"/>
      <c r="J325"/>
      <c r="K325"/>
      <c r="L325"/>
    </row>
    <row r="326" spans="4:12" x14ac:dyDescent="0.3">
      <c r="D326"/>
      <c r="E326"/>
      <c r="F326"/>
      <c r="G326"/>
      <c r="H326"/>
      <c r="I326"/>
      <c r="J326"/>
      <c r="K326"/>
      <c r="L326"/>
    </row>
    <row r="327" spans="4:12" x14ac:dyDescent="0.3">
      <c r="D327"/>
      <c r="E327"/>
      <c r="F327"/>
      <c r="G327"/>
      <c r="H327"/>
      <c r="I327"/>
      <c r="J327"/>
      <c r="K327"/>
      <c r="L327"/>
    </row>
    <row r="328" spans="4:12" x14ac:dyDescent="0.3">
      <c r="D328"/>
      <c r="E328"/>
      <c r="F328"/>
      <c r="G328"/>
      <c r="H328"/>
      <c r="I328"/>
      <c r="J328"/>
      <c r="K328"/>
      <c r="L328"/>
    </row>
    <row r="329" spans="4:12" x14ac:dyDescent="0.3">
      <c r="D329"/>
      <c r="E329"/>
      <c r="F329"/>
      <c r="G329"/>
      <c r="H329"/>
      <c r="I329"/>
      <c r="J329"/>
      <c r="K329"/>
      <c r="L329"/>
    </row>
    <row r="330" spans="4:12" x14ac:dyDescent="0.3">
      <c r="D330"/>
      <c r="E330"/>
      <c r="F330"/>
      <c r="G330"/>
      <c r="H330"/>
      <c r="I330"/>
      <c r="J330"/>
      <c r="K330"/>
      <c r="L330"/>
    </row>
    <row r="331" spans="4:12" x14ac:dyDescent="0.3">
      <c r="D331"/>
      <c r="E331"/>
      <c r="F331"/>
      <c r="G331"/>
      <c r="H331"/>
      <c r="I331"/>
      <c r="J331"/>
      <c r="K331"/>
      <c r="L331"/>
    </row>
    <row r="332" spans="4:12" x14ac:dyDescent="0.3">
      <c r="D332"/>
      <c r="E332"/>
      <c r="F332"/>
      <c r="G332"/>
      <c r="H332"/>
      <c r="I332"/>
      <c r="J332"/>
      <c r="K332"/>
      <c r="L332"/>
    </row>
    <row r="333" spans="4:12" x14ac:dyDescent="0.3">
      <c r="D333"/>
      <c r="E333"/>
      <c r="F333"/>
      <c r="G333"/>
      <c r="H333"/>
      <c r="I333"/>
      <c r="J333"/>
      <c r="K333"/>
      <c r="L333"/>
    </row>
    <row r="334" spans="4:12" x14ac:dyDescent="0.3">
      <c r="D334"/>
      <c r="E334"/>
      <c r="F334"/>
      <c r="G334"/>
      <c r="H334"/>
      <c r="I334"/>
      <c r="J334"/>
      <c r="K334"/>
      <c r="L334"/>
    </row>
    <row r="335" spans="4:12" x14ac:dyDescent="0.3">
      <c r="D335"/>
      <c r="E335"/>
      <c r="F335"/>
      <c r="G335"/>
      <c r="H335"/>
      <c r="I335"/>
      <c r="J335"/>
      <c r="K335"/>
      <c r="L335"/>
    </row>
    <row r="336" spans="4:12" x14ac:dyDescent="0.3">
      <c r="D336"/>
      <c r="E336"/>
      <c r="F336"/>
      <c r="G336"/>
      <c r="H336"/>
      <c r="I336"/>
      <c r="J336"/>
      <c r="K336"/>
      <c r="L336"/>
    </row>
    <row r="337" spans="4:12" x14ac:dyDescent="0.3">
      <c r="D337"/>
      <c r="E337"/>
      <c r="F337"/>
      <c r="G337"/>
      <c r="H337"/>
      <c r="I337"/>
      <c r="J337"/>
      <c r="K337"/>
      <c r="L337"/>
    </row>
    <row r="338" spans="4:12" x14ac:dyDescent="0.3">
      <c r="D338"/>
      <c r="E338"/>
      <c r="F338"/>
      <c r="G338"/>
      <c r="H338"/>
      <c r="I338"/>
      <c r="J338"/>
      <c r="K338"/>
      <c r="L338"/>
    </row>
    <row r="339" spans="4:12" x14ac:dyDescent="0.3">
      <c r="D339"/>
      <c r="E339"/>
      <c r="F339"/>
      <c r="G339"/>
      <c r="H339"/>
      <c r="I339"/>
      <c r="J339"/>
      <c r="K339"/>
      <c r="L339"/>
    </row>
    <row r="340" spans="4:12" x14ac:dyDescent="0.3">
      <c r="D340"/>
      <c r="E340"/>
      <c r="F340"/>
      <c r="G340"/>
      <c r="H340"/>
      <c r="I340"/>
      <c r="J340"/>
      <c r="K340"/>
      <c r="L340"/>
    </row>
    <row r="341" spans="4:12" x14ac:dyDescent="0.3">
      <c r="D341"/>
      <c r="E341"/>
      <c r="F341"/>
      <c r="G341"/>
      <c r="H341"/>
      <c r="I341"/>
      <c r="J341"/>
      <c r="K341"/>
      <c r="L341"/>
    </row>
    <row r="342" spans="4:12" x14ac:dyDescent="0.3">
      <c r="D342"/>
      <c r="E342"/>
      <c r="F342"/>
      <c r="G342"/>
      <c r="H342"/>
      <c r="I342"/>
      <c r="J342"/>
      <c r="K342"/>
      <c r="L342"/>
    </row>
    <row r="343" spans="4:12" x14ac:dyDescent="0.3">
      <c r="D343"/>
      <c r="E343"/>
      <c r="F343"/>
      <c r="G343"/>
      <c r="H343"/>
      <c r="I343"/>
      <c r="J343"/>
      <c r="K343"/>
      <c r="L343"/>
    </row>
    <row r="344" spans="4:12" x14ac:dyDescent="0.3">
      <c r="D344"/>
      <c r="E344"/>
      <c r="F344"/>
      <c r="G344"/>
      <c r="H344"/>
      <c r="I344"/>
      <c r="J344"/>
      <c r="K344"/>
      <c r="L344"/>
    </row>
    <row r="345" spans="4:12" x14ac:dyDescent="0.3">
      <c r="D345"/>
      <c r="E345"/>
      <c r="F345"/>
      <c r="G345"/>
      <c r="H345"/>
      <c r="I345"/>
      <c r="J345"/>
      <c r="K345"/>
      <c r="L345"/>
    </row>
    <row r="346" spans="4:12" x14ac:dyDescent="0.3">
      <c r="D346"/>
      <c r="E346"/>
      <c r="F346"/>
      <c r="G346"/>
      <c r="H346"/>
      <c r="I346"/>
      <c r="J346"/>
      <c r="K346"/>
      <c r="L346"/>
    </row>
    <row r="347" spans="4:12" x14ac:dyDescent="0.3">
      <c r="D347"/>
      <c r="E347"/>
      <c r="F347"/>
      <c r="G347"/>
      <c r="H347"/>
      <c r="I347"/>
      <c r="J347"/>
      <c r="K347"/>
      <c r="L347"/>
    </row>
    <row r="348" spans="4:12" x14ac:dyDescent="0.3">
      <c r="D348"/>
      <c r="E348"/>
      <c r="F348"/>
      <c r="G348"/>
      <c r="H348"/>
      <c r="I348"/>
      <c r="J348"/>
      <c r="K348"/>
      <c r="L348"/>
    </row>
    <row r="349" spans="4:12" x14ac:dyDescent="0.3">
      <c r="D349"/>
      <c r="E349"/>
      <c r="F349"/>
      <c r="G349"/>
      <c r="H349"/>
      <c r="I349"/>
      <c r="J349"/>
      <c r="K349"/>
      <c r="L349"/>
    </row>
    <row r="350" spans="4:12" x14ac:dyDescent="0.3">
      <c r="D350"/>
      <c r="E350"/>
      <c r="F350"/>
      <c r="G350"/>
      <c r="H350"/>
      <c r="I350"/>
      <c r="J350"/>
      <c r="K350"/>
      <c r="L350"/>
    </row>
    <row r="351" spans="4:12" x14ac:dyDescent="0.3">
      <c r="D351"/>
      <c r="E351"/>
      <c r="F351"/>
      <c r="G351"/>
      <c r="H351"/>
      <c r="I351"/>
      <c r="J351"/>
      <c r="K351"/>
      <c r="L351"/>
    </row>
    <row r="352" spans="4:12" x14ac:dyDescent="0.3">
      <c r="D352"/>
      <c r="E352"/>
      <c r="F352"/>
      <c r="G352"/>
      <c r="H352"/>
      <c r="I352"/>
      <c r="J352"/>
      <c r="K352"/>
      <c r="L352"/>
    </row>
    <row r="353" spans="4:12" x14ac:dyDescent="0.3">
      <c r="D353"/>
      <c r="E353"/>
      <c r="F353"/>
      <c r="G353"/>
      <c r="H353"/>
      <c r="I353"/>
      <c r="J353"/>
      <c r="K353"/>
      <c r="L353"/>
    </row>
    <row r="354" spans="4:12" x14ac:dyDescent="0.3">
      <c r="D354"/>
      <c r="E354"/>
      <c r="F354"/>
      <c r="G354"/>
      <c r="H354"/>
      <c r="I354"/>
      <c r="J354"/>
      <c r="K354"/>
      <c r="L354"/>
    </row>
    <row r="355" spans="4:12" x14ac:dyDescent="0.3">
      <c r="D355"/>
      <c r="E355"/>
      <c r="F355"/>
      <c r="G355"/>
      <c r="H355"/>
      <c r="I355"/>
      <c r="J355"/>
      <c r="K355"/>
      <c r="L355"/>
    </row>
    <row r="356" spans="4:12" x14ac:dyDescent="0.3">
      <c r="D356"/>
      <c r="E356"/>
      <c r="F356"/>
      <c r="G356"/>
      <c r="H356"/>
      <c r="I356"/>
      <c r="J356"/>
      <c r="K356"/>
      <c r="L356"/>
    </row>
    <row r="357" spans="4:12" x14ac:dyDescent="0.3">
      <c r="D357"/>
      <c r="E357"/>
      <c r="F357"/>
      <c r="G357"/>
      <c r="H357"/>
      <c r="I357"/>
      <c r="J357"/>
      <c r="K357"/>
      <c r="L357"/>
    </row>
    <row r="358" spans="4:12" x14ac:dyDescent="0.3">
      <c r="D358"/>
      <c r="E358"/>
      <c r="F358"/>
      <c r="G358"/>
      <c r="H358"/>
      <c r="I358"/>
      <c r="J358"/>
      <c r="K358"/>
      <c r="L358"/>
    </row>
    <row r="359" spans="4:12" x14ac:dyDescent="0.3">
      <c r="D359"/>
      <c r="E359"/>
      <c r="F359"/>
      <c r="G359"/>
      <c r="H359"/>
      <c r="I359"/>
      <c r="J359"/>
      <c r="K359"/>
      <c r="L359"/>
    </row>
    <row r="360" spans="4:12" x14ac:dyDescent="0.3">
      <c r="D360"/>
      <c r="E360"/>
      <c r="F360"/>
      <c r="G360"/>
      <c r="H360"/>
      <c r="I360"/>
      <c r="J360"/>
      <c r="K360"/>
      <c r="L360"/>
    </row>
    <row r="361" spans="4:12" x14ac:dyDescent="0.3">
      <c r="D361"/>
      <c r="E361"/>
      <c r="F361"/>
      <c r="G361"/>
      <c r="H361"/>
      <c r="I361"/>
      <c r="J361"/>
      <c r="K361"/>
      <c r="L361"/>
    </row>
    <row r="362" spans="4:12" x14ac:dyDescent="0.3">
      <c r="D362"/>
      <c r="E362"/>
      <c r="F362"/>
      <c r="G362"/>
      <c r="H362"/>
      <c r="I362"/>
      <c r="J362"/>
      <c r="K362"/>
      <c r="L362"/>
    </row>
    <row r="363" spans="4:12" x14ac:dyDescent="0.3">
      <c r="D363"/>
      <c r="E363"/>
      <c r="F363"/>
      <c r="G363"/>
      <c r="H363"/>
      <c r="I363"/>
      <c r="J363"/>
      <c r="K363"/>
      <c r="L363"/>
    </row>
    <row r="364" spans="4:12" x14ac:dyDescent="0.3">
      <c r="D364"/>
      <c r="E364"/>
      <c r="F364"/>
      <c r="G364"/>
      <c r="H364"/>
      <c r="I364"/>
      <c r="J364"/>
      <c r="K364"/>
      <c r="L364"/>
    </row>
    <row r="365" spans="4:12" x14ac:dyDescent="0.3">
      <c r="D365"/>
      <c r="E365"/>
      <c r="F365"/>
      <c r="G365"/>
      <c r="H365"/>
      <c r="I365"/>
      <c r="J365"/>
      <c r="K365"/>
      <c r="L365"/>
    </row>
    <row r="366" spans="4:12" x14ac:dyDescent="0.3">
      <c r="D366"/>
      <c r="E366"/>
      <c r="F366"/>
      <c r="G366"/>
      <c r="H366"/>
      <c r="I366"/>
      <c r="J366"/>
      <c r="K366"/>
      <c r="L366"/>
    </row>
    <row r="367" spans="4:12" x14ac:dyDescent="0.3">
      <c r="D367"/>
      <c r="E367"/>
      <c r="F367"/>
      <c r="G367"/>
      <c r="H367"/>
      <c r="I367"/>
      <c r="J367"/>
      <c r="K367"/>
      <c r="L367"/>
    </row>
    <row r="368" spans="4:12" x14ac:dyDescent="0.3">
      <c r="D368"/>
      <c r="E368"/>
      <c r="F368"/>
      <c r="G368"/>
      <c r="H368"/>
      <c r="I368"/>
      <c r="J368"/>
      <c r="K368"/>
      <c r="L368"/>
    </row>
    <row r="369" spans="4:12" x14ac:dyDescent="0.3">
      <c r="D369"/>
      <c r="E369"/>
      <c r="F369"/>
      <c r="G369"/>
      <c r="H369"/>
      <c r="I369"/>
      <c r="J369"/>
      <c r="K369"/>
      <c r="L369"/>
    </row>
    <row r="370" spans="4:12" x14ac:dyDescent="0.3">
      <c r="D370"/>
      <c r="E370"/>
      <c r="F370"/>
      <c r="G370"/>
      <c r="H370"/>
      <c r="I370"/>
      <c r="J370"/>
      <c r="K370"/>
      <c r="L370"/>
    </row>
    <row r="371" spans="4:12" x14ac:dyDescent="0.3">
      <c r="D371"/>
      <c r="E371"/>
      <c r="F371"/>
      <c r="G371"/>
      <c r="H371"/>
      <c r="I371"/>
      <c r="J371"/>
      <c r="K371"/>
      <c r="L371"/>
    </row>
    <row r="372" spans="4:12" x14ac:dyDescent="0.3">
      <c r="D372"/>
      <c r="E372"/>
      <c r="F372"/>
      <c r="G372"/>
      <c r="H372"/>
      <c r="I372"/>
      <c r="J372"/>
      <c r="K372"/>
      <c r="L372"/>
    </row>
    <row r="373" spans="4:12" x14ac:dyDescent="0.3">
      <c r="D373"/>
      <c r="E373"/>
      <c r="F373"/>
      <c r="G373"/>
      <c r="H373"/>
      <c r="I373"/>
      <c r="J373"/>
      <c r="K373"/>
      <c r="L373"/>
    </row>
    <row r="374" spans="4:12" x14ac:dyDescent="0.3">
      <c r="D374"/>
      <c r="E374"/>
      <c r="F374"/>
      <c r="G374"/>
      <c r="H374"/>
      <c r="I374"/>
      <c r="J374"/>
      <c r="K374"/>
      <c r="L374"/>
    </row>
    <row r="375" spans="4:12" x14ac:dyDescent="0.3">
      <c r="D375"/>
      <c r="E375"/>
      <c r="F375"/>
      <c r="G375"/>
      <c r="H375"/>
      <c r="I375"/>
      <c r="J375"/>
      <c r="K375"/>
      <c r="L375"/>
    </row>
    <row r="376" spans="4:12" x14ac:dyDescent="0.3">
      <c r="D376"/>
      <c r="E376"/>
      <c r="F376"/>
      <c r="G376"/>
      <c r="H376"/>
      <c r="I376"/>
      <c r="J376"/>
      <c r="K376"/>
      <c r="L376"/>
    </row>
    <row r="377" spans="4:12" x14ac:dyDescent="0.3">
      <c r="D377"/>
      <c r="E377"/>
      <c r="F377"/>
      <c r="G377"/>
      <c r="H377"/>
      <c r="I377"/>
      <c r="J377"/>
      <c r="K377"/>
      <c r="L377"/>
    </row>
    <row r="378" spans="4:12" x14ac:dyDescent="0.3">
      <c r="D378"/>
      <c r="E378"/>
      <c r="F378"/>
      <c r="G378"/>
      <c r="H378"/>
      <c r="I378"/>
      <c r="J378"/>
      <c r="K378"/>
      <c r="L378"/>
    </row>
    <row r="379" spans="4:12" x14ac:dyDescent="0.3">
      <c r="D379"/>
      <c r="E379"/>
      <c r="F379"/>
      <c r="G379"/>
      <c r="H379"/>
      <c r="I379"/>
      <c r="J379"/>
      <c r="K379"/>
      <c r="L379"/>
    </row>
    <row r="380" spans="4:12" x14ac:dyDescent="0.3">
      <c r="D380"/>
      <c r="E380"/>
      <c r="F380"/>
      <c r="G380"/>
      <c r="H380"/>
      <c r="I380"/>
      <c r="J380"/>
      <c r="K380"/>
      <c r="L380"/>
    </row>
    <row r="381" spans="4:12" x14ac:dyDescent="0.3">
      <c r="D381"/>
      <c r="E381"/>
      <c r="F381"/>
      <c r="G381"/>
      <c r="H381"/>
      <c r="I381"/>
      <c r="J381"/>
      <c r="K381"/>
      <c r="L381"/>
    </row>
    <row r="382" spans="4:12" x14ac:dyDescent="0.3">
      <c r="D382"/>
      <c r="E382"/>
      <c r="F382"/>
      <c r="G382"/>
      <c r="H382"/>
      <c r="I382"/>
      <c r="J382"/>
      <c r="K382"/>
      <c r="L382"/>
    </row>
    <row r="383" spans="4:12" x14ac:dyDescent="0.3">
      <c r="D383"/>
      <c r="E383"/>
      <c r="F383"/>
      <c r="G383"/>
      <c r="H383"/>
      <c r="I383"/>
      <c r="J383"/>
      <c r="K383"/>
      <c r="L383"/>
    </row>
    <row r="384" spans="4:12" x14ac:dyDescent="0.3">
      <c r="D384"/>
      <c r="E384"/>
      <c r="F384"/>
      <c r="G384"/>
      <c r="H384"/>
      <c r="I384"/>
      <c r="J384"/>
      <c r="K384"/>
      <c r="L384"/>
    </row>
    <row r="385" spans="4:12" x14ac:dyDescent="0.3">
      <c r="D385"/>
      <c r="E385"/>
      <c r="F385"/>
      <c r="G385"/>
      <c r="H385"/>
      <c r="I385"/>
      <c r="J385"/>
      <c r="K385"/>
      <c r="L385"/>
    </row>
    <row r="386" spans="4:12" x14ac:dyDescent="0.3">
      <c r="D386"/>
      <c r="E386"/>
      <c r="F386"/>
      <c r="G386"/>
      <c r="H386"/>
      <c r="I386"/>
      <c r="J386"/>
      <c r="K386"/>
      <c r="L386"/>
    </row>
    <row r="387" spans="4:12" x14ac:dyDescent="0.3">
      <c r="D387"/>
      <c r="E387"/>
      <c r="F387"/>
      <c r="G387"/>
      <c r="H387"/>
      <c r="I387"/>
      <c r="J387"/>
      <c r="K387"/>
      <c r="L387"/>
    </row>
    <row r="388" spans="4:12" x14ac:dyDescent="0.3">
      <c r="D388"/>
      <c r="E388"/>
      <c r="F388"/>
      <c r="G388"/>
      <c r="H388"/>
      <c r="I388"/>
      <c r="J388"/>
      <c r="K388"/>
      <c r="L388"/>
    </row>
    <row r="389" spans="4:12" x14ac:dyDescent="0.3">
      <c r="D389"/>
      <c r="E389"/>
      <c r="F389"/>
      <c r="G389"/>
      <c r="H389"/>
      <c r="I389"/>
      <c r="J389"/>
      <c r="K389"/>
      <c r="L389"/>
    </row>
    <row r="390" spans="4:12" x14ac:dyDescent="0.3">
      <c r="D390"/>
      <c r="E390"/>
      <c r="F390"/>
      <c r="G390"/>
      <c r="H390"/>
      <c r="I390"/>
      <c r="J390"/>
      <c r="K390"/>
      <c r="L390"/>
    </row>
    <row r="391" spans="4:12" x14ac:dyDescent="0.3">
      <c r="D391"/>
      <c r="E391"/>
      <c r="F391"/>
      <c r="G391"/>
      <c r="H391"/>
      <c r="I391"/>
      <c r="J391"/>
      <c r="K391"/>
      <c r="L391"/>
    </row>
    <row r="392" spans="4:12" x14ac:dyDescent="0.3">
      <c r="D392"/>
      <c r="E392"/>
      <c r="F392"/>
      <c r="G392"/>
      <c r="H392"/>
      <c r="I392"/>
      <c r="J392"/>
      <c r="K392"/>
      <c r="L392"/>
    </row>
    <row r="393" spans="4:12" x14ac:dyDescent="0.3">
      <c r="D393"/>
      <c r="E393"/>
      <c r="F393"/>
      <c r="G393"/>
      <c r="H393"/>
      <c r="I393"/>
      <c r="J393"/>
      <c r="K393"/>
      <c r="L393"/>
    </row>
    <row r="394" spans="4:12" x14ac:dyDescent="0.3">
      <c r="D394"/>
      <c r="E394"/>
      <c r="F394"/>
      <c r="G394"/>
      <c r="H394"/>
      <c r="I394"/>
      <c r="J394"/>
      <c r="K394"/>
      <c r="L394"/>
    </row>
    <row r="395" spans="4:12" x14ac:dyDescent="0.3">
      <c r="D395"/>
      <c r="E395"/>
      <c r="F395"/>
      <c r="G395"/>
      <c r="H395"/>
      <c r="I395"/>
      <c r="J395"/>
      <c r="K395"/>
      <c r="L395"/>
    </row>
    <row r="396" spans="4:12" x14ac:dyDescent="0.3">
      <c r="D396"/>
      <c r="E396"/>
      <c r="F396"/>
      <c r="G396"/>
      <c r="H396"/>
      <c r="I396"/>
      <c r="J396"/>
      <c r="K396"/>
      <c r="L396"/>
    </row>
    <row r="397" spans="4:12" x14ac:dyDescent="0.3">
      <c r="D397"/>
      <c r="E397"/>
      <c r="F397"/>
      <c r="G397"/>
      <c r="H397"/>
      <c r="I397"/>
      <c r="J397"/>
      <c r="K397"/>
      <c r="L397"/>
    </row>
    <row r="398" spans="4:12" x14ac:dyDescent="0.3">
      <c r="D398"/>
      <c r="E398"/>
      <c r="F398"/>
      <c r="G398"/>
      <c r="H398"/>
      <c r="I398"/>
      <c r="J398"/>
      <c r="K398"/>
      <c r="L398"/>
    </row>
    <row r="399" spans="4:12" x14ac:dyDescent="0.3">
      <c r="D399"/>
      <c r="E399"/>
      <c r="F399"/>
      <c r="G399"/>
      <c r="H399"/>
      <c r="I399"/>
      <c r="J399"/>
      <c r="K399"/>
      <c r="L399"/>
    </row>
    <row r="400" spans="4:12" x14ac:dyDescent="0.3">
      <c r="D400"/>
      <c r="E400"/>
      <c r="F400"/>
      <c r="G400"/>
      <c r="H400"/>
      <c r="I400"/>
      <c r="J400"/>
      <c r="K400"/>
      <c r="L400"/>
    </row>
    <row r="401" spans="4:12" x14ac:dyDescent="0.3">
      <c r="D401"/>
      <c r="E401"/>
      <c r="F401"/>
      <c r="G401"/>
      <c r="H401"/>
      <c r="I401"/>
      <c r="J401"/>
      <c r="K401"/>
      <c r="L401"/>
    </row>
    <row r="402" spans="4:12" x14ac:dyDescent="0.3">
      <c r="D402"/>
      <c r="E402"/>
      <c r="F402"/>
      <c r="G402"/>
      <c r="H402"/>
      <c r="I402"/>
      <c r="J402"/>
      <c r="K402"/>
      <c r="L402"/>
    </row>
    <row r="403" spans="4:12" x14ac:dyDescent="0.3">
      <c r="D403"/>
      <c r="E403"/>
      <c r="F403"/>
      <c r="G403"/>
      <c r="H403"/>
      <c r="I403"/>
      <c r="J403"/>
      <c r="K403"/>
      <c r="L403"/>
    </row>
  </sheetData>
  <sheetProtection selectLockedCells="1" selectUnlockedCells="1"/>
  <scenarios current="0" show="0">
    <scenario name="Optimistic Growth" locked="1" count="1" user="Rensee" comment="Created by Rensee on 27-04-2026">
      <inputCells r="M115" val="0.2"/>
    </scenario>
  </scenarios>
  <sortState xmlns:xlrd2="http://schemas.microsoft.com/office/spreadsheetml/2017/richdata2" ref="J155:J403">
    <sortCondition ref="J155"/>
  </sortState>
  <mergeCells count="44">
    <mergeCell ref="D98:H98"/>
    <mergeCell ref="D111:I111"/>
    <mergeCell ref="D5:G5"/>
    <mergeCell ref="D6:E6"/>
    <mergeCell ref="F6:G6"/>
    <mergeCell ref="D7:E7"/>
    <mergeCell ref="F7:G7"/>
    <mergeCell ref="D11:E11"/>
    <mergeCell ref="F11:G11"/>
    <mergeCell ref="D8:E8"/>
    <mergeCell ref="F8:G8"/>
    <mergeCell ref="D9:E9"/>
    <mergeCell ref="F9:G9"/>
    <mergeCell ref="I11:J11"/>
    <mergeCell ref="D10:E10"/>
    <mergeCell ref="F10:G10"/>
    <mergeCell ref="I5:L5"/>
    <mergeCell ref="D67:I67"/>
    <mergeCell ref="I9:J9"/>
    <mergeCell ref="I8:J8"/>
    <mergeCell ref="I7:J7"/>
    <mergeCell ref="I6:J6"/>
    <mergeCell ref="K8:L8"/>
    <mergeCell ref="K9:L9"/>
    <mergeCell ref="K10:L10"/>
    <mergeCell ref="K7:L7"/>
    <mergeCell ref="K11:L11"/>
    <mergeCell ref="K6:L6"/>
    <mergeCell ref="G133:L133"/>
    <mergeCell ref="D131:L131"/>
    <mergeCell ref="D2:M3"/>
    <mergeCell ref="K112:L112"/>
    <mergeCell ref="K113:L113"/>
    <mergeCell ref="K114:L114"/>
    <mergeCell ref="D133:E133"/>
    <mergeCell ref="K111:M111"/>
    <mergeCell ref="K115:L115"/>
    <mergeCell ref="K116:L116"/>
    <mergeCell ref="K117:L117"/>
    <mergeCell ref="D81:I81"/>
    <mergeCell ref="D90:G90"/>
    <mergeCell ref="D105:H105"/>
    <mergeCell ref="I10:J10"/>
    <mergeCell ref="K67:M67"/>
  </mergeCells>
  <conditionalFormatting sqref="E83:E87">
    <cfRule type="colorScale" priority="9">
      <colorScale>
        <cfvo type="min"/>
        <cfvo type="max"/>
        <color theme="4" tint="0.79998168889431442"/>
        <color theme="4" tint="0.39997558519241921"/>
      </colorScale>
    </cfRule>
    <cfRule type="colorScale" priority="10">
      <colorScale>
        <cfvo type="min"/>
        <cfvo type="max"/>
        <color theme="4" tint="0.79998168889431442"/>
        <color theme="4"/>
      </colorScale>
    </cfRule>
    <cfRule type="colorScale" priority="11">
      <colorScale>
        <cfvo type="min"/>
        <cfvo type="max"/>
        <color rgb="FFFFE4E4"/>
        <color rgb="FF70AD47"/>
      </colorScale>
    </cfRule>
    <cfRule type="colorScale" priority="2">
      <colorScale>
        <cfvo type="min"/>
        <cfvo type="max"/>
        <color theme="7" tint="-0.249977111117893"/>
        <color theme="7" tint="0.79998168889431442"/>
      </colorScale>
    </cfRule>
  </conditionalFormatting>
  <conditionalFormatting sqref="F83:F87">
    <cfRule type="dataBar" priority="6">
      <dataBar>
        <cfvo type="min"/>
        <cfvo type="max"/>
        <color theme="8" tint="0.59999389629810485"/>
      </dataBar>
      <extLst>
        <ext xmlns:x14="http://schemas.microsoft.com/office/spreadsheetml/2009/9/main" uri="{B025F937-C7B1-47D3-B67F-A62EFF666E3E}">
          <x14:id>{BE361CF2-521F-469F-BF6E-09C7C274AE8F}</x14:id>
        </ext>
      </extLst>
    </cfRule>
    <cfRule type="dataBar" priority="7">
      <dataBar>
        <cfvo type="min"/>
        <cfvo type="max"/>
        <color rgb="FF638EC6"/>
      </dataBar>
      <extLst>
        <ext xmlns:x14="http://schemas.microsoft.com/office/spreadsheetml/2009/9/main" uri="{B025F937-C7B1-47D3-B67F-A62EFF666E3E}">
          <x14:id>{B0A32CCC-F334-48D0-94B5-65FE28DE8CE0}</x14:id>
        </ext>
      </extLst>
    </cfRule>
    <cfRule type="dataBar" priority="8">
      <dataBar>
        <cfvo type="min"/>
        <cfvo type="max"/>
        <color theme="8" tint="0.59999389629810485"/>
      </dataBar>
      <extLst>
        <ext xmlns:x14="http://schemas.microsoft.com/office/spreadsheetml/2009/9/main" uri="{B025F937-C7B1-47D3-B67F-A62EFF666E3E}">
          <x14:id>{9DE51EB1-3E2A-455F-B71A-281209E2E59A}</x14:id>
        </ext>
      </extLst>
    </cfRule>
  </conditionalFormatting>
  <conditionalFormatting sqref="G65:G66 H15:H64">
    <cfRule type="colorScale" priority="17">
      <colorScale>
        <cfvo type="min"/>
        <cfvo type="percentile" val="50"/>
        <cfvo type="max"/>
        <color rgb="FFFFE4E4"/>
        <color rgb="FFFFFF99"/>
        <color rgb="FF70AD47"/>
      </colorScale>
    </cfRule>
  </conditionalFormatting>
  <conditionalFormatting sqref="H15:H64">
    <cfRule type="colorScale" priority="12">
      <colorScale>
        <cfvo type="min"/>
        <cfvo type="max"/>
        <color theme="6" tint="0.79998168889431442"/>
        <color theme="6"/>
      </colorScale>
    </cfRule>
    <cfRule type="colorScale" priority="13">
      <colorScale>
        <cfvo type="min"/>
        <cfvo type="max"/>
        <color theme="6" tint="0.39997558519241921"/>
        <color theme="6" tint="0.79998168889431442"/>
      </colorScale>
    </cfRule>
    <cfRule type="colorScale" priority="14">
      <colorScale>
        <cfvo type="min"/>
        <cfvo type="max"/>
        <color theme="6" tint="-0.249977111117893"/>
        <color theme="6" tint="0.79998168889431442"/>
      </colorScale>
    </cfRule>
    <cfRule type="colorScale" priority="16">
      <colorScale>
        <cfvo type="min"/>
        <cfvo type="max"/>
        <color rgb="FFFCFCFF"/>
        <color rgb="FF63BE7B"/>
      </colorScale>
    </cfRule>
    <cfRule type="colorScale" priority="3">
      <colorScale>
        <cfvo type="min"/>
        <cfvo type="max"/>
        <color theme="7" tint="-0.499984740745262"/>
        <color theme="7" tint="0.79998168889431442"/>
      </colorScale>
    </cfRule>
  </conditionalFormatting>
  <conditionalFormatting sqref="I15:I64">
    <cfRule type="dataBar" priority="5">
      <dataBar>
        <cfvo type="min"/>
        <cfvo type="max"/>
        <color theme="8" tint="0.59999389629810485"/>
      </dataBar>
      <extLst>
        <ext xmlns:x14="http://schemas.microsoft.com/office/spreadsheetml/2009/9/main" uri="{B025F937-C7B1-47D3-B67F-A62EFF666E3E}">
          <x14:id>{DE2B8451-17EA-4DA3-9197-21F6FB830EDB}</x14:id>
        </ext>
      </extLst>
    </cfRule>
    <cfRule type="dataBar" priority="15">
      <dataBar>
        <cfvo type="min"/>
        <cfvo type="max"/>
        <color theme="8" tint="0.59999389629810485"/>
      </dataBar>
      <extLst>
        <ext xmlns:x14="http://schemas.microsoft.com/office/spreadsheetml/2009/9/main" uri="{B025F937-C7B1-47D3-B67F-A62EFF666E3E}">
          <x14:id>{5690213A-60F5-4DBE-ACA3-7CAC81B9733E}</x14:id>
        </ext>
      </extLst>
    </cfRule>
    <cfRule type="dataBar" priority="18">
      <dataBar>
        <cfvo type="min"/>
        <cfvo type="max"/>
        <color rgb="FF2E75B6"/>
      </dataBar>
      <extLst>
        <ext xmlns:x14="http://schemas.microsoft.com/office/spreadsheetml/2009/9/main" uri="{B025F937-C7B1-47D3-B67F-A62EFF666E3E}">
          <x14:id>{280B1BCB-B71B-4ECB-A728-7280DAE42084}</x14:id>
        </ext>
      </extLst>
    </cfRule>
    <cfRule type="dataBar" priority="1">
      <dataBar>
        <cfvo type="min"/>
        <cfvo type="max"/>
        <color theme="7" tint="-0.249977111117893"/>
      </dataBar>
      <extLst>
        <ext xmlns:x14="http://schemas.microsoft.com/office/spreadsheetml/2009/9/main" uri="{B025F937-C7B1-47D3-B67F-A62EFF666E3E}">
          <x14:id>{9123FD30-BD19-483C-89D4-F585D0E0A347}</x14:id>
        </ext>
      </extLst>
    </cfRule>
  </conditionalFormatting>
  <conditionalFormatting sqref="I49:I64">
    <cfRule type="dataBar" priority="4">
      <dataBar>
        <cfvo type="min"/>
        <cfvo type="max"/>
        <color theme="8" tint="0.39997558519241921"/>
      </dataBar>
      <extLst>
        <ext xmlns:x14="http://schemas.microsoft.com/office/spreadsheetml/2009/9/main" uri="{B025F937-C7B1-47D3-B67F-A62EFF666E3E}">
          <x14:id>{BF92BFA1-018E-4750-829F-9D923FEF0A8E}</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BE361CF2-521F-469F-BF6E-09C7C274AE8F}">
            <x14:dataBar minLength="0" maxLength="100">
              <x14:cfvo type="autoMin"/>
              <x14:cfvo type="autoMax"/>
              <x14:negativeFillColor rgb="FFFF0000"/>
              <x14:axisColor rgb="FF000000"/>
            </x14:dataBar>
          </x14:cfRule>
          <x14:cfRule type="dataBar" id="{B0A32CCC-F334-48D0-94B5-65FE28DE8CE0}">
            <x14:dataBar minLength="0" maxLength="100">
              <x14:cfvo type="autoMin"/>
              <x14:cfvo type="autoMax"/>
              <x14:negativeFillColor rgb="FFFF0000"/>
              <x14:axisColor rgb="FF000000"/>
            </x14:dataBar>
          </x14:cfRule>
          <x14:cfRule type="dataBar" id="{9DE51EB1-3E2A-455F-B71A-281209E2E59A}">
            <x14:dataBar minLength="0" maxLength="100" gradient="0">
              <x14:cfvo type="autoMin"/>
              <x14:cfvo type="autoMax"/>
              <x14:negativeFillColor rgb="FFFF0000"/>
              <x14:axisColor rgb="FF000000"/>
            </x14:dataBar>
          </x14:cfRule>
          <xm:sqref>F83:F87</xm:sqref>
        </x14:conditionalFormatting>
        <x14:conditionalFormatting xmlns:xm="http://schemas.microsoft.com/office/excel/2006/main">
          <x14:cfRule type="dataBar" id="{DE2B8451-17EA-4DA3-9197-21F6FB830EDB}">
            <x14:dataBar minLength="0" maxLength="100">
              <x14:cfvo type="autoMin"/>
              <x14:cfvo type="autoMax"/>
              <x14:negativeFillColor rgb="FFFF0000"/>
              <x14:axisColor rgb="FF000000"/>
            </x14:dataBar>
          </x14:cfRule>
          <x14:cfRule type="dataBar" id="{5690213A-60F5-4DBE-ACA3-7CAC81B9733E}">
            <x14:dataBar minLength="0" maxLength="100" gradient="0">
              <x14:cfvo type="autoMin"/>
              <x14:cfvo type="autoMax"/>
              <x14:negativeFillColor rgb="FFFF0000"/>
              <x14:axisColor rgb="FF000000"/>
            </x14:dataBar>
          </x14:cfRule>
          <x14:cfRule type="dataBar" id="{280B1BCB-B71B-4ECB-A728-7280DAE42084}">
            <x14:dataBar axisPosition="none">
              <x14:cfvo type="min"/>
              <x14:cfvo type="max"/>
              <x14:negativeFillColor rgb="FF2E75B6"/>
            </x14:dataBar>
          </x14:cfRule>
          <x14:cfRule type="dataBar" id="{9123FD30-BD19-483C-89D4-F585D0E0A347}">
            <x14:dataBar minLength="0" maxLength="100">
              <x14:cfvo type="autoMin"/>
              <x14:cfvo type="autoMax"/>
              <x14:negativeFillColor rgb="FFFF0000"/>
              <x14:axisColor rgb="FF000000"/>
            </x14:dataBar>
          </x14:cfRule>
          <xm:sqref>I15:I64</xm:sqref>
        </x14:conditionalFormatting>
        <x14:conditionalFormatting xmlns:xm="http://schemas.microsoft.com/office/excel/2006/main">
          <x14:cfRule type="dataBar" id="{BF92BFA1-018E-4750-829F-9D923FEF0A8E}">
            <x14:dataBar minLength="0" maxLength="100">
              <x14:cfvo type="autoMin"/>
              <x14:cfvo type="autoMax"/>
              <x14:negativeFillColor rgb="FFFF0000"/>
              <x14:axisColor rgb="FF000000"/>
            </x14:dataBar>
          </x14:cfRule>
          <xm:sqref>I49:I64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6D77E-95CA-467C-8C5F-E3BBEA74683E}">
  <sheetPr>
    <tabColor theme="7" tint="-0.249977111117893"/>
  </sheetPr>
  <dimension ref="B2:K59"/>
  <sheetViews>
    <sheetView workbookViewId="0">
      <selection activeCell="D2" sqref="D2:K3"/>
    </sheetView>
  </sheetViews>
  <sheetFormatPr defaultRowHeight="14.4" x14ac:dyDescent="0.3"/>
  <cols>
    <col min="1" max="1" width="4.77734375" customWidth="1"/>
    <col min="2" max="2" width="8.6640625" style="63" customWidth="1"/>
    <col min="3" max="3" width="4.77734375" customWidth="1"/>
    <col min="4" max="4" width="27.33203125" customWidth="1"/>
    <col min="5" max="5" width="10.6640625" customWidth="1"/>
    <col min="6" max="6" width="10.33203125" customWidth="1"/>
    <col min="7" max="7" width="10.77734375" customWidth="1"/>
    <col min="8" max="8" width="10.33203125" customWidth="1"/>
    <col min="9" max="9" width="10.6640625" customWidth="1"/>
    <col min="10" max="10" width="10" customWidth="1"/>
    <col min="11" max="11" width="10.109375" customWidth="1"/>
  </cols>
  <sheetData>
    <row r="2" spans="4:11" ht="14.4" customHeight="1" x14ac:dyDescent="0.3">
      <c r="D2" s="59" t="s">
        <v>504</v>
      </c>
      <c r="E2" s="59"/>
      <c r="F2" s="59"/>
      <c r="G2" s="59"/>
      <c r="H2" s="59"/>
      <c r="I2" s="59"/>
      <c r="J2" s="59"/>
      <c r="K2" s="59"/>
    </row>
    <row r="3" spans="4:11" ht="14.4" customHeight="1" x14ac:dyDescent="0.3">
      <c r="D3" s="59"/>
      <c r="E3" s="59"/>
      <c r="F3" s="59"/>
      <c r="G3" s="59"/>
      <c r="H3" s="59"/>
      <c r="I3" s="59"/>
      <c r="J3" s="59"/>
      <c r="K3" s="59"/>
    </row>
    <row r="4" spans="4:11" x14ac:dyDescent="0.3">
      <c r="D4" s="2"/>
    </row>
    <row r="6" spans="4:11" ht="17.399999999999999" customHeight="1" x14ac:dyDescent="0.3">
      <c r="D6" s="61" t="s">
        <v>505</v>
      </c>
      <c r="E6" s="61"/>
      <c r="F6" s="61"/>
      <c r="G6" s="61"/>
      <c r="H6" s="61"/>
      <c r="I6" s="61"/>
      <c r="J6" s="61"/>
      <c r="K6" s="61"/>
    </row>
    <row r="7" spans="4:11" x14ac:dyDescent="0.3">
      <c r="D7" s="25" t="s">
        <v>506</v>
      </c>
      <c r="E7" s="62" t="str">
        <f>SUM(Row_Data[Total_Amount])&amp;"₹ across 250 transactions"</f>
        <v>229192.47₹ across 250 transactions</v>
      </c>
      <c r="F7" s="62"/>
      <c r="G7" s="62"/>
      <c r="H7" s="62"/>
      <c r="I7" s="62"/>
      <c r="J7" s="62"/>
      <c r="K7" s="62"/>
    </row>
    <row r="8" spans="4:11" x14ac:dyDescent="0.3">
      <c r="D8" s="25" t="s">
        <v>507</v>
      </c>
      <c r="E8" s="60" t="s">
        <v>508</v>
      </c>
      <c r="F8" s="60"/>
      <c r="G8" s="60"/>
      <c r="H8" s="60"/>
      <c r="I8" s="60"/>
      <c r="J8" s="60"/>
      <c r="K8" s="60"/>
    </row>
    <row r="9" spans="4:11" x14ac:dyDescent="0.3">
      <c r="D9" s="25" t="s">
        <v>509</v>
      </c>
      <c r="E9" s="60" t="s">
        <v>510</v>
      </c>
      <c r="F9" s="60"/>
      <c r="G9" s="60"/>
      <c r="H9" s="60"/>
      <c r="I9" s="60"/>
      <c r="J9" s="60"/>
      <c r="K9" s="60"/>
    </row>
    <row r="10" spans="4:11" x14ac:dyDescent="0.3">
      <c r="D10" s="25" t="s">
        <v>511</v>
      </c>
      <c r="E10" s="62">
        <f>AVERAGE(Row_Data[Total_Amount])</f>
        <v>916.76988000000131</v>
      </c>
      <c r="F10" s="62"/>
      <c r="G10" s="62"/>
      <c r="H10" s="62"/>
      <c r="I10" s="62"/>
      <c r="J10" s="62"/>
      <c r="K10" s="62"/>
    </row>
    <row r="12" spans="4:11" ht="17.399999999999999" customHeight="1" x14ac:dyDescent="0.3">
      <c r="D12" s="61" t="s">
        <v>556</v>
      </c>
      <c r="E12" s="61"/>
      <c r="F12" s="61"/>
      <c r="G12" s="61"/>
      <c r="H12" s="61"/>
      <c r="I12" s="61"/>
      <c r="J12" s="61"/>
      <c r="K12" s="61"/>
    </row>
    <row r="13" spans="4:11" x14ac:dyDescent="0.3">
      <c r="D13" s="25" t="s">
        <v>558</v>
      </c>
      <c r="E13" s="60" t="s">
        <v>580</v>
      </c>
      <c r="F13" s="60"/>
      <c r="G13" s="60"/>
      <c r="H13" s="60"/>
      <c r="I13" s="60"/>
      <c r="J13" s="60"/>
      <c r="K13" s="60"/>
    </row>
    <row r="14" spans="4:11" x14ac:dyDescent="0.3">
      <c r="D14" s="25" t="s">
        <v>557</v>
      </c>
      <c r="E14" s="60" t="s">
        <v>581</v>
      </c>
      <c r="F14" s="60"/>
      <c r="G14" s="60"/>
      <c r="H14" s="60"/>
      <c r="I14" s="60"/>
      <c r="J14" s="60"/>
      <c r="K14" s="60"/>
    </row>
    <row r="15" spans="4:11" x14ac:dyDescent="0.3">
      <c r="D15" s="25" t="s">
        <v>559</v>
      </c>
      <c r="E15" s="60" t="s">
        <v>512</v>
      </c>
      <c r="F15" s="60"/>
      <c r="G15" s="60"/>
      <c r="H15" s="60"/>
      <c r="I15" s="60"/>
      <c r="J15" s="60"/>
      <c r="K15" s="60"/>
    </row>
    <row r="16" spans="4:11" x14ac:dyDescent="0.3">
      <c r="D16" s="25" t="s">
        <v>560</v>
      </c>
      <c r="E16" s="60" t="s">
        <v>513</v>
      </c>
      <c r="F16" s="60"/>
      <c r="G16" s="60"/>
      <c r="H16" s="60"/>
      <c r="I16" s="60"/>
      <c r="J16" s="60"/>
      <c r="K16" s="60"/>
    </row>
    <row r="18" spans="4:11" ht="17.399999999999999" customHeight="1" x14ac:dyDescent="0.3">
      <c r="D18" s="61" t="s">
        <v>564</v>
      </c>
      <c r="E18" s="61"/>
      <c r="F18" s="61"/>
      <c r="G18" s="61"/>
      <c r="H18" s="61"/>
      <c r="I18" s="61"/>
      <c r="J18" s="61"/>
      <c r="K18" s="61"/>
    </row>
    <row r="19" spans="4:11" x14ac:dyDescent="0.3">
      <c r="D19" s="25" t="s">
        <v>561</v>
      </c>
      <c r="E19" s="60" t="s">
        <v>582</v>
      </c>
      <c r="F19" s="60"/>
      <c r="G19" s="60"/>
      <c r="H19" s="60"/>
      <c r="I19" s="60"/>
      <c r="J19" s="60"/>
      <c r="K19" s="60"/>
    </row>
    <row r="20" spans="4:11" x14ac:dyDescent="0.3">
      <c r="D20" s="25" t="s">
        <v>562</v>
      </c>
      <c r="E20" s="60" t="s">
        <v>583</v>
      </c>
      <c r="F20" s="60"/>
      <c r="G20" s="60"/>
      <c r="H20" s="60"/>
      <c r="I20" s="60"/>
      <c r="J20" s="60"/>
      <c r="K20" s="60"/>
    </row>
    <row r="21" spans="4:11" x14ac:dyDescent="0.3">
      <c r="D21" s="25" t="s">
        <v>563</v>
      </c>
      <c r="E21" s="60" t="s">
        <v>514</v>
      </c>
      <c r="F21" s="60"/>
      <c r="G21" s="60"/>
      <c r="H21" s="60"/>
      <c r="I21" s="60"/>
      <c r="J21" s="60"/>
      <c r="K21" s="60"/>
    </row>
    <row r="22" spans="4:11" x14ac:dyDescent="0.3">
      <c r="D22" s="25" t="s">
        <v>559</v>
      </c>
      <c r="E22" s="60" t="s">
        <v>515</v>
      </c>
      <c r="F22" s="60"/>
      <c r="G22" s="60"/>
      <c r="H22" s="60"/>
      <c r="I22" s="60"/>
      <c r="J22" s="60"/>
      <c r="K22" s="60"/>
    </row>
    <row r="24" spans="4:11" ht="17.399999999999999" customHeight="1" x14ac:dyDescent="0.3">
      <c r="D24" s="61" t="s">
        <v>565</v>
      </c>
      <c r="E24" s="61"/>
      <c r="F24" s="61"/>
      <c r="G24" s="61"/>
      <c r="H24" s="61"/>
      <c r="I24" s="61"/>
      <c r="J24" s="61"/>
      <c r="K24" s="61"/>
    </row>
    <row r="25" spans="4:11" x14ac:dyDescent="0.3">
      <c r="D25" s="25" t="s">
        <v>566</v>
      </c>
      <c r="E25" s="60" t="s">
        <v>584</v>
      </c>
      <c r="F25" s="60"/>
      <c r="G25" s="60"/>
      <c r="H25" s="60"/>
      <c r="I25" s="60"/>
      <c r="J25" s="60"/>
      <c r="K25" s="60"/>
    </row>
    <row r="26" spans="4:11" x14ac:dyDescent="0.3">
      <c r="D26" s="25" t="s">
        <v>567</v>
      </c>
      <c r="E26" s="60" t="s">
        <v>516</v>
      </c>
      <c r="F26" s="60"/>
      <c r="G26" s="60"/>
      <c r="H26" s="60"/>
      <c r="I26" s="60"/>
      <c r="J26" s="60"/>
      <c r="K26" s="60"/>
    </row>
    <row r="27" spans="4:11" x14ac:dyDescent="0.3">
      <c r="D27" s="25" t="s">
        <v>568</v>
      </c>
      <c r="E27" s="60" t="s">
        <v>585</v>
      </c>
      <c r="F27" s="60"/>
      <c r="G27" s="60"/>
      <c r="H27" s="60"/>
      <c r="I27" s="60"/>
      <c r="J27" s="60"/>
      <c r="K27" s="60"/>
    </row>
    <row r="28" spans="4:11" x14ac:dyDescent="0.3">
      <c r="D28" s="25" t="s">
        <v>569</v>
      </c>
      <c r="E28" s="60" t="s">
        <v>517</v>
      </c>
      <c r="F28" s="60"/>
      <c r="G28" s="60"/>
      <c r="H28" s="60"/>
      <c r="I28" s="60"/>
      <c r="J28" s="60"/>
      <c r="K28" s="60"/>
    </row>
    <row r="29" spans="4:11" x14ac:dyDescent="0.3">
      <c r="D29" s="25" t="s">
        <v>559</v>
      </c>
      <c r="E29" s="60" t="s">
        <v>518</v>
      </c>
      <c r="F29" s="60"/>
      <c r="G29" s="60"/>
      <c r="H29" s="60"/>
      <c r="I29" s="60"/>
      <c r="J29" s="60"/>
      <c r="K29" s="60"/>
    </row>
    <row r="31" spans="4:11" ht="17.399999999999999" customHeight="1" x14ac:dyDescent="0.3">
      <c r="D31" s="61" t="s">
        <v>570</v>
      </c>
      <c r="E31" s="61"/>
      <c r="F31" s="61"/>
      <c r="G31" s="61"/>
      <c r="H31" s="61"/>
      <c r="I31" s="61"/>
      <c r="J31" s="61"/>
      <c r="K31" s="61"/>
    </row>
    <row r="32" spans="4:11" x14ac:dyDescent="0.3">
      <c r="D32" s="25" t="s">
        <v>571</v>
      </c>
      <c r="E32" s="60" t="s">
        <v>519</v>
      </c>
      <c r="F32" s="60"/>
      <c r="G32" s="60"/>
      <c r="H32" s="60"/>
      <c r="I32" s="60"/>
      <c r="J32" s="60"/>
      <c r="K32" s="60"/>
    </row>
    <row r="33" spans="4:11" x14ac:dyDescent="0.3">
      <c r="D33" s="25" t="s">
        <v>572</v>
      </c>
      <c r="E33" s="60" t="s">
        <v>520</v>
      </c>
      <c r="F33" s="60"/>
      <c r="G33" s="60"/>
      <c r="H33" s="60"/>
      <c r="I33" s="60"/>
      <c r="J33" s="60"/>
      <c r="K33" s="60"/>
    </row>
    <row r="34" spans="4:11" x14ac:dyDescent="0.3">
      <c r="D34" s="25" t="s">
        <v>573</v>
      </c>
      <c r="E34" s="60" t="s">
        <v>521</v>
      </c>
      <c r="F34" s="60"/>
      <c r="G34" s="60"/>
      <c r="H34" s="60"/>
      <c r="I34" s="60"/>
      <c r="J34" s="60"/>
      <c r="K34" s="60"/>
    </row>
    <row r="35" spans="4:11" x14ac:dyDescent="0.3">
      <c r="D35" s="25" t="s">
        <v>559</v>
      </c>
      <c r="E35" s="60" t="s">
        <v>574</v>
      </c>
      <c r="F35" s="60"/>
      <c r="G35" s="60"/>
      <c r="H35" s="60"/>
      <c r="I35" s="60"/>
      <c r="J35" s="60"/>
      <c r="K35" s="60"/>
    </row>
    <row r="37" spans="4:11" ht="17.399999999999999" customHeight="1" x14ac:dyDescent="0.3">
      <c r="D37" s="61" t="s">
        <v>575</v>
      </c>
      <c r="E37" s="61"/>
      <c r="F37" s="61"/>
      <c r="G37" s="61"/>
      <c r="H37" s="61"/>
      <c r="I37" s="61"/>
      <c r="J37" s="61"/>
      <c r="K37" s="61"/>
    </row>
    <row r="38" spans="4:11" x14ac:dyDescent="0.3">
      <c r="D38" s="25" t="s">
        <v>576</v>
      </c>
      <c r="E38" s="60" t="s">
        <v>522</v>
      </c>
      <c r="F38" s="60"/>
      <c r="G38" s="60"/>
      <c r="H38" s="60"/>
      <c r="I38" s="60"/>
      <c r="J38" s="60"/>
      <c r="K38" s="60"/>
    </row>
    <row r="39" spans="4:11" x14ac:dyDescent="0.3">
      <c r="D39" s="25" t="s">
        <v>577</v>
      </c>
      <c r="E39" s="60" t="s">
        <v>523</v>
      </c>
      <c r="F39" s="60"/>
      <c r="G39" s="60"/>
      <c r="H39" s="60"/>
      <c r="I39" s="60"/>
      <c r="J39" s="60"/>
      <c r="K39" s="60"/>
    </row>
    <row r="40" spans="4:11" x14ac:dyDescent="0.3">
      <c r="D40" s="25" t="s">
        <v>578</v>
      </c>
      <c r="E40" s="60" t="s">
        <v>524</v>
      </c>
      <c r="F40" s="60"/>
      <c r="G40" s="60"/>
      <c r="H40" s="60"/>
      <c r="I40" s="60"/>
      <c r="J40" s="60"/>
      <c r="K40" s="60"/>
    </row>
    <row r="41" spans="4:11" x14ac:dyDescent="0.3">
      <c r="D41" s="25" t="s">
        <v>579</v>
      </c>
      <c r="E41" s="60" t="s">
        <v>525</v>
      </c>
      <c r="F41" s="60"/>
      <c r="G41" s="60"/>
      <c r="H41" s="60"/>
      <c r="I41" s="60"/>
      <c r="J41" s="60"/>
      <c r="K41" s="60"/>
    </row>
    <row r="43" spans="4:11" ht="17.399999999999999" customHeight="1" x14ac:dyDescent="0.3">
      <c r="D43" s="61" t="s">
        <v>526</v>
      </c>
      <c r="E43" s="61"/>
      <c r="F43" s="61"/>
      <c r="G43" s="61"/>
      <c r="H43" s="61"/>
      <c r="I43" s="61"/>
      <c r="J43" s="61"/>
      <c r="K43" s="61"/>
    </row>
    <row r="44" spans="4:11" x14ac:dyDescent="0.3">
      <c r="D44" s="25" t="s">
        <v>527</v>
      </c>
      <c r="E44" s="60" t="s">
        <v>528</v>
      </c>
      <c r="F44" s="60"/>
      <c r="G44" s="60"/>
      <c r="H44" s="60"/>
      <c r="I44" s="60"/>
      <c r="J44" s="60"/>
      <c r="K44" s="60"/>
    </row>
    <row r="45" spans="4:11" x14ac:dyDescent="0.3">
      <c r="D45" s="25" t="s">
        <v>529</v>
      </c>
      <c r="E45" s="60" t="s">
        <v>530</v>
      </c>
      <c r="F45" s="60"/>
      <c r="G45" s="60"/>
      <c r="H45" s="60"/>
      <c r="I45" s="60"/>
      <c r="J45" s="60"/>
      <c r="K45" s="60"/>
    </row>
    <row r="46" spans="4:11" x14ac:dyDescent="0.3">
      <c r="D46" s="25" t="s">
        <v>531</v>
      </c>
      <c r="E46" s="60" t="s">
        <v>532</v>
      </c>
      <c r="F46" s="60"/>
      <c r="G46" s="60"/>
      <c r="H46" s="60"/>
      <c r="I46" s="60"/>
      <c r="J46" s="60"/>
      <c r="K46" s="60"/>
    </row>
    <row r="47" spans="4:11" x14ac:dyDescent="0.3">
      <c r="D47" s="25" t="s">
        <v>533</v>
      </c>
      <c r="E47" s="60" t="s">
        <v>534</v>
      </c>
      <c r="F47" s="60"/>
      <c r="G47" s="60"/>
      <c r="H47" s="60"/>
      <c r="I47" s="60"/>
      <c r="J47" s="60"/>
      <c r="K47" s="60"/>
    </row>
    <row r="48" spans="4:11" x14ac:dyDescent="0.3">
      <c r="D48" s="25" t="s">
        <v>535</v>
      </c>
      <c r="E48" s="60" t="s">
        <v>536</v>
      </c>
      <c r="F48" s="60"/>
      <c r="G48" s="60"/>
      <c r="H48" s="60"/>
      <c r="I48" s="60"/>
      <c r="J48" s="60"/>
      <c r="K48" s="60"/>
    </row>
    <row r="49" spans="4:11" x14ac:dyDescent="0.3">
      <c r="D49" s="25" t="s">
        <v>537</v>
      </c>
      <c r="E49" s="60" t="s">
        <v>538</v>
      </c>
      <c r="F49" s="60"/>
      <c r="G49" s="60"/>
      <c r="H49" s="60"/>
      <c r="I49" s="60"/>
      <c r="J49" s="60"/>
      <c r="K49" s="60"/>
    </row>
    <row r="50" spans="4:11" x14ac:dyDescent="0.3">
      <c r="D50" s="25" t="s">
        <v>539</v>
      </c>
      <c r="E50" s="60" t="s">
        <v>540</v>
      </c>
      <c r="F50" s="60"/>
      <c r="G50" s="60"/>
      <c r="H50" s="60"/>
      <c r="I50" s="60"/>
      <c r="J50" s="60"/>
      <c r="K50" s="60"/>
    </row>
    <row r="51" spans="4:11" x14ac:dyDescent="0.3">
      <c r="D51" s="25" t="s">
        <v>541</v>
      </c>
      <c r="E51" s="60" t="s">
        <v>542</v>
      </c>
      <c r="F51" s="60"/>
      <c r="G51" s="60"/>
      <c r="H51" s="60"/>
      <c r="I51" s="60"/>
      <c r="J51" s="60"/>
      <c r="K51" s="60"/>
    </row>
    <row r="53" spans="4:11" ht="17.399999999999999" customHeight="1" x14ac:dyDescent="0.3">
      <c r="D53" s="61" t="s">
        <v>543</v>
      </c>
      <c r="E53" s="61"/>
      <c r="F53" s="61"/>
      <c r="G53" s="61"/>
      <c r="H53" s="61"/>
      <c r="I53" s="61"/>
      <c r="J53" s="61"/>
      <c r="K53" s="61"/>
    </row>
    <row r="54" spans="4:11" x14ac:dyDescent="0.3">
      <c r="D54" s="25" t="s">
        <v>544</v>
      </c>
      <c r="E54" s="60" t="s">
        <v>545</v>
      </c>
      <c r="F54" s="60"/>
      <c r="G54" s="60"/>
      <c r="H54" s="60"/>
      <c r="I54" s="60"/>
      <c r="J54" s="60"/>
      <c r="K54" s="60"/>
    </row>
    <row r="55" spans="4:11" x14ac:dyDescent="0.3">
      <c r="D55" s="25" t="s">
        <v>546</v>
      </c>
      <c r="E55" s="60" t="s">
        <v>547</v>
      </c>
      <c r="F55" s="60"/>
      <c r="G55" s="60"/>
      <c r="H55" s="60"/>
      <c r="I55" s="60"/>
      <c r="J55" s="60"/>
      <c r="K55" s="60"/>
    </row>
    <row r="56" spans="4:11" x14ac:dyDescent="0.3">
      <c r="D56" s="25" t="s">
        <v>548</v>
      </c>
      <c r="E56" s="60" t="s">
        <v>549</v>
      </c>
      <c r="F56" s="60"/>
      <c r="G56" s="60"/>
      <c r="H56" s="60"/>
      <c r="I56" s="60"/>
      <c r="J56" s="60"/>
      <c r="K56" s="60"/>
    </row>
    <row r="57" spans="4:11" x14ac:dyDescent="0.3">
      <c r="D57" s="25" t="s">
        <v>550</v>
      </c>
      <c r="E57" s="60" t="s">
        <v>551</v>
      </c>
      <c r="F57" s="60"/>
      <c r="G57" s="60"/>
      <c r="H57" s="60"/>
      <c r="I57" s="60"/>
      <c r="J57" s="60"/>
      <c r="K57" s="60"/>
    </row>
    <row r="58" spans="4:11" x14ac:dyDescent="0.3">
      <c r="D58" s="25" t="s">
        <v>552</v>
      </c>
      <c r="E58" s="60" t="s">
        <v>553</v>
      </c>
      <c r="F58" s="60"/>
      <c r="G58" s="60"/>
      <c r="H58" s="60"/>
      <c r="I58" s="60"/>
      <c r="J58" s="60"/>
      <c r="K58" s="60"/>
    </row>
    <row r="59" spans="4:11" x14ac:dyDescent="0.3">
      <c r="D59" s="25" t="s">
        <v>554</v>
      </c>
      <c r="E59" s="60" t="s">
        <v>555</v>
      </c>
      <c r="F59" s="60"/>
      <c r="G59" s="60"/>
      <c r="H59" s="60"/>
      <c r="I59" s="60"/>
      <c r="J59" s="60"/>
      <c r="K59" s="60"/>
    </row>
  </sheetData>
  <sheetProtection selectLockedCells="1" selectUnlockedCells="1"/>
  <mergeCells count="48">
    <mergeCell ref="E20:K20"/>
    <mergeCell ref="E21:K21"/>
    <mergeCell ref="E22:K22"/>
    <mergeCell ref="D18:K18"/>
    <mergeCell ref="E19:K19"/>
    <mergeCell ref="D6:K6"/>
    <mergeCell ref="E7:K7"/>
    <mergeCell ref="E8:K8"/>
    <mergeCell ref="E9:K9"/>
    <mergeCell ref="E10:K10"/>
    <mergeCell ref="D12:K12"/>
    <mergeCell ref="E13:K13"/>
    <mergeCell ref="E14:K14"/>
    <mergeCell ref="E15:K15"/>
    <mergeCell ref="E16:K16"/>
    <mergeCell ref="D24:K24"/>
    <mergeCell ref="E25:K25"/>
    <mergeCell ref="E39:K39"/>
    <mergeCell ref="E27:K27"/>
    <mergeCell ref="E28:K28"/>
    <mergeCell ref="E29:K29"/>
    <mergeCell ref="D31:K31"/>
    <mergeCell ref="E32:K32"/>
    <mergeCell ref="E26:K26"/>
    <mergeCell ref="E58:K58"/>
    <mergeCell ref="E59:K59"/>
    <mergeCell ref="E47:K47"/>
    <mergeCell ref="E48:K48"/>
    <mergeCell ref="E49:K49"/>
    <mergeCell ref="E50:K50"/>
    <mergeCell ref="E51:K51"/>
    <mergeCell ref="D53:K53"/>
    <mergeCell ref="D2:K3"/>
    <mergeCell ref="E54:K54"/>
    <mergeCell ref="E55:K55"/>
    <mergeCell ref="E56:K56"/>
    <mergeCell ref="E57:K57"/>
    <mergeCell ref="E40:K40"/>
    <mergeCell ref="E41:K41"/>
    <mergeCell ref="D43:K43"/>
    <mergeCell ref="E44:K44"/>
    <mergeCell ref="E45:K45"/>
    <mergeCell ref="E46:K46"/>
    <mergeCell ref="E33:K33"/>
    <mergeCell ref="E34:K34"/>
    <mergeCell ref="E35:K35"/>
    <mergeCell ref="D37:K37"/>
    <mergeCell ref="E38:K3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Raw Dataset</vt:lpstr>
      <vt:lpstr>Pivot_Data</vt:lpstr>
      <vt:lpstr>Analysis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Renu Gajipara</cp:lastModifiedBy>
  <dcterms:modified xsi:type="dcterms:W3CDTF">2026-05-23T16:50:18Z</dcterms:modified>
</cp:coreProperties>
</file>